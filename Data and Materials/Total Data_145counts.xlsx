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ke0709/Downloads/同步空间/ECNU/Publish Paper/EDDSCI Paper/Data/"/>
    </mc:Choice>
  </mc:AlternateContent>
  <xr:revisionPtr revIDLastSave="0" documentId="13_ncr:1_{96F1D625-E463-1B4E-8F68-8AA2D2EA1C38}" xr6:coauthVersionLast="47" xr6:coauthVersionMax="47" xr10:uidLastSave="{00000000-0000-0000-0000-000000000000}"/>
  <bookViews>
    <workbookView xWindow="640" yWindow="920" windowWidth="27240" windowHeight="15280" xr2:uid="{01718B1D-4344-A945-980B-708CB1BE8DE1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Sheet1!$B$1:$B$146</definedName>
    <definedName name="_xlnm._FilterDatabase" localSheetId="2" hidden="1">Sheet3!$I$1:$I$146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8" i="1" l="1"/>
  <c r="U109" i="1"/>
  <c r="U110" i="1"/>
  <c r="U111" i="1"/>
  <c r="U112" i="1"/>
  <c r="U113" i="1"/>
  <c r="U115" i="1"/>
  <c r="U116" i="1"/>
  <c r="U117" i="1"/>
  <c r="U118" i="1"/>
  <c r="U119" i="1"/>
  <c r="U120" i="1"/>
  <c r="U122" i="1"/>
  <c r="U124" i="1"/>
  <c r="U125" i="1"/>
  <c r="U126" i="1"/>
  <c r="U127" i="1"/>
  <c r="U129" i="1"/>
  <c r="U130" i="1"/>
  <c r="U131" i="1"/>
  <c r="U132" i="1"/>
  <c r="U133" i="1"/>
  <c r="U134" i="1"/>
  <c r="U136" i="1"/>
  <c r="U137" i="1"/>
  <c r="U138" i="1"/>
  <c r="U139" i="1"/>
  <c r="U140" i="1"/>
  <c r="U141" i="1"/>
  <c r="U143" i="1"/>
  <c r="U144" i="1"/>
  <c r="U145" i="1"/>
  <c r="U146" i="1"/>
  <c r="R15" i="3"/>
  <c r="R14" i="3"/>
  <c r="R13" i="3"/>
  <c r="R12" i="3"/>
  <c r="R11" i="3"/>
  <c r="Q14" i="3"/>
  <c r="Q13" i="3"/>
  <c r="Q12" i="3"/>
  <c r="Q11" i="3"/>
  <c r="P14" i="3"/>
  <c r="P13" i="3"/>
  <c r="P12" i="3"/>
  <c r="P11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31" i="3"/>
  <c r="M32" i="3"/>
  <c r="M33" i="3"/>
  <c r="M34" i="3"/>
  <c r="M35" i="3"/>
  <c r="M36" i="3"/>
  <c r="M37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" i="3"/>
  <c r="M4" i="3"/>
  <c r="M5" i="3"/>
  <c r="M6" i="3"/>
  <c r="M7" i="3"/>
  <c r="M8" i="3"/>
  <c r="M9" i="3"/>
  <c r="M10" i="3"/>
  <c r="M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3" i="3"/>
  <c r="I4" i="3"/>
  <c r="I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3" i="3"/>
  <c r="D2" i="3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" i="1"/>
  <c r="U3" i="1"/>
</calcChain>
</file>

<file path=xl/sharedStrings.xml><?xml version="1.0" encoding="utf-8"?>
<sst xmlns="http://schemas.openxmlformats.org/spreadsheetml/2006/main" count="639" uniqueCount="135">
  <si>
    <t>IPADdress</t>
  </si>
  <si>
    <t>216.180.91.13</t>
  </si>
  <si>
    <t>222.90.220.233</t>
  </si>
  <si>
    <t>117.36.73.117</t>
  </si>
  <si>
    <t>116.113.44.66</t>
  </si>
  <si>
    <t>111.18.6.201</t>
  </si>
  <si>
    <t>36.44.100.75</t>
  </si>
  <si>
    <t>117.22.173.20</t>
  </si>
  <si>
    <t>111.19.42.48</t>
  </si>
  <si>
    <t>111.19.39.113</t>
  </si>
  <si>
    <t>111.18.153.75</t>
  </si>
  <si>
    <t>111.18.6.207</t>
  </si>
  <si>
    <t>111.18.130.160</t>
  </si>
  <si>
    <t>36.44.96.178</t>
  </si>
  <si>
    <t>111.19.39.79</t>
  </si>
  <si>
    <t>124.89.102.197</t>
  </si>
  <si>
    <t>111.19.39.37</t>
  </si>
  <si>
    <t>223.104.11.22</t>
  </si>
  <si>
    <t>36.46.0.35</t>
  </si>
  <si>
    <t>1.80.171.57</t>
  </si>
  <si>
    <t>1.83.1.197</t>
  </si>
  <si>
    <t>123.138.151.108</t>
  </si>
  <si>
    <t>117.136.87.191</t>
  </si>
  <si>
    <t>113.201.190.98</t>
  </si>
  <si>
    <t>36.44.101.57</t>
  </si>
  <si>
    <t>117.136.87.69</t>
  </si>
  <si>
    <t>117.22.124.154</t>
  </si>
  <si>
    <t>111.18.43.199</t>
  </si>
  <si>
    <t>111.18.32.49</t>
  </si>
  <si>
    <t>111.20.66.178</t>
  </si>
  <si>
    <t>36.44.163.181</t>
  </si>
  <si>
    <t>36.44.162.51</t>
  </si>
  <si>
    <t>1.86.21.95</t>
  </si>
  <si>
    <t>124.114.73.36</t>
  </si>
  <si>
    <t>113.143.212.166</t>
  </si>
  <si>
    <t>111.18.71.7</t>
  </si>
  <si>
    <t>36.44.100.141</t>
  </si>
  <si>
    <t>113.200.47.232</t>
  </si>
  <si>
    <t>113.132.233.80</t>
  </si>
  <si>
    <t>223.104.204.106</t>
  </si>
  <si>
    <t>113.143.195.218</t>
  </si>
  <si>
    <t>117.136.86.34</t>
  </si>
  <si>
    <t>113.132.227.72</t>
  </si>
  <si>
    <t>123.138.151.25</t>
  </si>
  <si>
    <t>111.18.46.194</t>
  </si>
  <si>
    <t>117.22.183.114</t>
  </si>
  <si>
    <t>36.44.99.25</t>
  </si>
  <si>
    <t>111.18.3.151</t>
  </si>
  <si>
    <t>223.104.11.68</t>
  </si>
  <si>
    <t>117.22.181.118</t>
  </si>
  <si>
    <t>113.138.48.17</t>
  </si>
  <si>
    <t>117.22.217.80</t>
  </si>
  <si>
    <t>111.18.38.123</t>
  </si>
  <si>
    <t>36.44.107.68</t>
  </si>
  <si>
    <t>111.18.6.206</t>
  </si>
  <si>
    <t>117.136.86.49</t>
  </si>
  <si>
    <t>117.36.6.144</t>
  </si>
  <si>
    <t>123.138.92.15</t>
  </si>
  <si>
    <t>1.85.61.74</t>
  </si>
  <si>
    <t>36.45.12.51</t>
  </si>
  <si>
    <t>117.136.87.223</t>
  </si>
  <si>
    <t>111.18.38.179</t>
  </si>
  <si>
    <t>111.18.246.166</t>
  </si>
  <si>
    <t>111.18.134.212</t>
  </si>
  <si>
    <t>123.138.151.23</t>
  </si>
  <si>
    <t>111.18.139.157</t>
  </si>
  <si>
    <t>36.44.38.58</t>
  </si>
  <si>
    <t>106.44.60.3</t>
  </si>
  <si>
    <t>36.44.166.30</t>
  </si>
  <si>
    <t>1.84.208.192</t>
  </si>
  <si>
    <t>36.44.183.162</t>
  </si>
  <si>
    <t>111.19.93.149</t>
  </si>
  <si>
    <t>36.44.98.98</t>
  </si>
  <si>
    <t>117.136.51.11</t>
  </si>
  <si>
    <t>36.44.111.21</t>
  </si>
  <si>
    <t>124.89.102.90</t>
  </si>
  <si>
    <t>36.44.96.44</t>
  </si>
  <si>
    <t>111.18.194.178</t>
  </si>
  <si>
    <t>111.19.39.75</t>
  </si>
  <si>
    <t>117.22.175.206</t>
  </si>
  <si>
    <t>36.44.100.76</t>
  </si>
  <si>
    <t>123.139.120.110</t>
  </si>
  <si>
    <t>117.22.182.126</t>
  </si>
  <si>
    <t>36.45.12.233</t>
  </si>
  <si>
    <t>111.18.43.214</t>
  </si>
  <si>
    <t>117.22.141.60</t>
  </si>
  <si>
    <t>36.44.106.11</t>
  </si>
  <si>
    <t>113.135.244.52</t>
  </si>
  <si>
    <t>36.45.43.225</t>
  </si>
  <si>
    <t>Progress</t>
  </si>
  <si>
    <t>Duration</t>
  </si>
  <si>
    <t>Finished</t>
  </si>
  <si>
    <t>StudyID</t>
  </si>
  <si>
    <t>Age</t>
  </si>
  <si>
    <t>Gender</t>
  </si>
  <si>
    <t>Device</t>
  </si>
  <si>
    <t>Ask1</t>
  </si>
  <si>
    <t>Ask2</t>
  </si>
  <si>
    <t>Ask3</t>
  </si>
  <si>
    <t>Ask4</t>
  </si>
  <si>
    <t>Ask5</t>
  </si>
  <si>
    <t>Ask6</t>
  </si>
  <si>
    <t>Ask7</t>
  </si>
  <si>
    <t>Ask8</t>
  </si>
  <si>
    <t>Ask9</t>
  </si>
  <si>
    <t>Ask10</t>
  </si>
  <si>
    <t>Ask11</t>
  </si>
  <si>
    <t>Ask12</t>
  </si>
  <si>
    <t>Guide1</t>
  </si>
  <si>
    <t>Guide2</t>
  </si>
  <si>
    <t>Guide3</t>
  </si>
  <si>
    <t>Video1</t>
  </si>
  <si>
    <t>Ppt1</t>
  </si>
  <si>
    <t>Audio1</t>
  </si>
  <si>
    <t>SkipTeach1</t>
  </si>
  <si>
    <t>Video2</t>
  </si>
  <si>
    <t>Ppt2</t>
  </si>
  <si>
    <t>Audio2</t>
  </si>
  <si>
    <t>SkipTeach2</t>
  </si>
  <si>
    <t>JeopSelect1</t>
  </si>
  <si>
    <t>LinkSelect1</t>
  </si>
  <si>
    <t>FlashSelect1</t>
  </si>
  <si>
    <t>DiscSelect1</t>
  </si>
  <si>
    <t>SkipExer1</t>
  </si>
  <si>
    <t>On</t>
  </si>
  <si>
    <t>Off</t>
  </si>
  <si>
    <t>PreTest</t>
  </si>
  <si>
    <t>PostTest</t>
  </si>
  <si>
    <t xml:space="preserve">Q Asked </t>
  </si>
  <si>
    <t>Freq_Teaching</t>
  </si>
  <si>
    <t>Freq_Excer</t>
  </si>
  <si>
    <t>Freq_Guidence</t>
  </si>
  <si>
    <t>Teaching</t>
  </si>
  <si>
    <t>Guidence</t>
  </si>
  <si>
    <t>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</si>
</sst>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Duration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Sheet2!$A$2:$A$146</c:f>
              <c:numCache>
                <c:formatCode>General</c:formatCode>
                <c:ptCount val="145"/>
                <c:pt idx="0">
                  <c:v>1497</c:v>
                </c:pt>
                <c:pt idx="1">
                  <c:v>2074</c:v>
                </c:pt>
                <c:pt idx="2">
                  <c:v>1334</c:v>
                </c:pt>
                <c:pt idx="3">
                  <c:v>1153</c:v>
                </c:pt>
                <c:pt idx="4">
                  <c:v>1602</c:v>
                </c:pt>
                <c:pt idx="5">
                  <c:v>1187</c:v>
                </c:pt>
                <c:pt idx="6">
                  <c:v>1016</c:v>
                </c:pt>
                <c:pt idx="7">
                  <c:v>1879</c:v>
                </c:pt>
                <c:pt idx="8">
                  <c:v>679</c:v>
                </c:pt>
                <c:pt idx="9">
                  <c:v>865</c:v>
                </c:pt>
                <c:pt idx="10">
                  <c:v>594</c:v>
                </c:pt>
                <c:pt idx="11">
                  <c:v>686</c:v>
                </c:pt>
                <c:pt idx="12">
                  <c:v>1298</c:v>
                </c:pt>
                <c:pt idx="13">
                  <c:v>1008</c:v>
                </c:pt>
                <c:pt idx="14">
                  <c:v>642</c:v>
                </c:pt>
                <c:pt idx="15">
                  <c:v>682</c:v>
                </c:pt>
                <c:pt idx="16">
                  <c:v>653</c:v>
                </c:pt>
                <c:pt idx="17">
                  <c:v>2795</c:v>
                </c:pt>
                <c:pt idx="18">
                  <c:v>686</c:v>
                </c:pt>
                <c:pt idx="19">
                  <c:v>968</c:v>
                </c:pt>
                <c:pt idx="20">
                  <c:v>1497</c:v>
                </c:pt>
                <c:pt idx="21">
                  <c:v>2074</c:v>
                </c:pt>
                <c:pt idx="22">
                  <c:v>1334</c:v>
                </c:pt>
                <c:pt idx="23">
                  <c:v>1153</c:v>
                </c:pt>
                <c:pt idx="24">
                  <c:v>1602</c:v>
                </c:pt>
                <c:pt idx="25">
                  <c:v>1187</c:v>
                </c:pt>
                <c:pt idx="26">
                  <c:v>1016</c:v>
                </c:pt>
                <c:pt idx="27">
                  <c:v>1879</c:v>
                </c:pt>
                <c:pt idx="28">
                  <c:v>679</c:v>
                </c:pt>
                <c:pt idx="29">
                  <c:v>865</c:v>
                </c:pt>
                <c:pt idx="30">
                  <c:v>594</c:v>
                </c:pt>
                <c:pt idx="31">
                  <c:v>686</c:v>
                </c:pt>
                <c:pt idx="32">
                  <c:v>1298</c:v>
                </c:pt>
                <c:pt idx="33">
                  <c:v>1008</c:v>
                </c:pt>
                <c:pt idx="34">
                  <c:v>642</c:v>
                </c:pt>
                <c:pt idx="35">
                  <c:v>682</c:v>
                </c:pt>
                <c:pt idx="36">
                  <c:v>653</c:v>
                </c:pt>
                <c:pt idx="37">
                  <c:v>2600</c:v>
                </c:pt>
                <c:pt idx="38">
                  <c:v>686</c:v>
                </c:pt>
                <c:pt idx="39">
                  <c:v>968</c:v>
                </c:pt>
                <c:pt idx="40">
                  <c:v>679</c:v>
                </c:pt>
                <c:pt idx="41">
                  <c:v>865</c:v>
                </c:pt>
                <c:pt idx="42">
                  <c:v>594</c:v>
                </c:pt>
                <c:pt idx="43">
                  <c:v>686</c:v>
                </c:pt>
                <c:pt idx="44">
                  <c:v>1298</c:v>
                </c:pt>
                <c:pt idx="45">
                  <c:v>1008</c:v>
                </c:pt>
                <c:pt idx="46">
                  <c:v>642</c:v>
                </c:pt>
                <c:pt idx="47">
                  <c:v>682</c:v>
                </c:pt>
                <c:pt idx="48">
                  <c:v>653</c:v>
                </c:pt>
                <c:pt idx="49">
                  <c:v>2495</c:v>
                </c:pt>
                <c:pt idx="50">
                  <c:v>686</c:v>
                </c:pt>
                <c:pt idx="51">
                  <c:v>968</c:v>
                </c:pt>
                <c:pt idx="52">
                  <c:v>1497</c:v>
                </c:pt>
                <c:pt idx="53">
                  <c:v>2074</c:v>
                </c:pt>
                <c:pt idx="54">
                  <c:v>1334</c:v>
                </c:pt>
                <c:pt idx="55">
                  <c:v>1153</c:v>
                </c:pt>
                <c:pt idx="56">
                  <c:v>1602</c:v>
                </c:pt>
                <c:pt idx="57">
                  <c:v>1187</c:v>
                </c:pt>
                <c:pt idx="58">
                  <c:v>1016</c:v>
                </c:pt>
                <c:pt idx="59">
                  <c:v>1879</c:v>
                </c:pt>
                <c:pt idx="60">
                  <c:v>679</c:v>
                </c:pt>
                <c:pt idx="61">
                  <c:v>1298</c:v>
                </c:pt>
                <c:pt idx="62">
                  <c:v>1008</c:v>
                </c:pt>
                <c:pt idx="63">
                  <c:v>642</c:v>
                </c:pt>
                <c:pt idx="64">
                  <c:v>682</c:v>
                </c:pt>
                <c:pt idx="65">
                  <c:v>653</c:v>
                </c:pt>
                <c:pt idx="66">
                  <c:v>2602</c:v>
                </c:pt>
                <c:pt idx="67">
                  <c:v>686</c:v>
                </c:pt>
                <c:pt idx="68">
                  <c:v>968</c:v>
                </c:pt>
                <c:pt idx="69">
                  <c:v>679</c:v>
                </c:pt>
                <c:pt idx="70">
                  <c:v>865</c:v>
                </c:pt>
                <c:pt idx="71">
                  <c:v>594</c:v>
                </c:pt>
                <c:pt idx="72">
                  <c:v>686</c:v>
                </c:pt>
                <c:pt idx="73">
                  <c:v>1298</c:v>
                </c:pt>
                <c:pt idx="74">
                  <c:v>1008</c:v>
                </c:pt>
                <c:pt idx="75">
                  <c:v>642</c:v>
                </c:pt>
                <c:pt idx="76">
                  <c:v>682</c:v>
                </c:pt>
                <c:pt idx="77">
                  <c:v>653</c:v>
                </c:pt>
                <c:pt idx="78">
                  <c:v>679</c:v>
                </c:pt>
                <c:pt idx="79">
                  <c:v>1298</c:v>
                </c:pt>
                <c:pt idx="80">
                  <c:v>1008</c:v>
                </c:pt>
                <c:pt idx="81">
                  <c:v>642</c:v>
                </c:pt>
                <c:pt idx="82">
                  <c:v>682</c:v>
                </c:pt>
                <c:pt idx="83">
                  <c:v>653</c:v>
                </c:pt>
                <c:pt idx="84">
                  <c:v>2300</c:v>
                </c:pt>
                <c:pt idx="85">
                  <c:v>686</c:v>
                </c:pt>
                <c:pt idx="86">
                  <c:v>968</c:v>
                </c:pt>
                <c:pt idx="87">
                  <c:v>679</c:v>
                </c:pt>
                <c:pt idx="88">
                  <c:v>865</c:v>
                </c:pt>
                <c:pt idx="89">
                  <c:v>594</c:v>
                </c:pt>
                <c:pt idx="90">
                  <c:v>686</c:v>
                </c:pt>
                <c:pt idx="91">
                  <c:v>642</c:v>
                </c:pt>
                <c:pt idx="92">
                  <c:v>682</c:v>
                </c:pt>
                <c:pt idx="93">
                  <c:v>653</c:v>
                </c:pt>
                <c:pt idx="94">
                  <c:v>679</c:v>
                </c:pt>
                <c:pt idx="95">
                  <c:v>1298</c:v>
                </c:pt>
                <c:pt idx="96">
                  <c:v>1008</c:v>
                </c:pt>
                <c:pt idx="97">
                  <c:v>642</c:v>
                </c:pt>
                <c:pt idx="98">
                  <c:v>682</c:v>
                </c:pt>
                <c:pt idx="99">
                  <c:v>653</c:v>
                </c:pt>
                <c:pt idx="100">
                  <c:v>2200</c:v>
                </c:pt>
                <c:pt idx="101">
                  <c:v>686</c:v>
                </c:pt>
                <c:pt idx="102">
                  <c:v>968</c:v>
                </c:pt>
                <c:pt idx="103">
                  <c:v>679</c:v>
                </c:pt>
                <c:pt idx="104">
                  <c:v>980</c:v>
                </c:pt>
                <c:pt idx="105">
                  <c:v>53</c:v>
                </c:pt>
                <c:pt idx="106">
                  <c:v>69</c:v>
                </c:pt>
                <c:pt idx="107">
                  <c:v>38</c:v>
                </c:pt>
                <c:pt idx="108">
                  <c:v>87</c:v>
                </c:pt>
                <c:pt idx="109">
                  <c:v>217</c:v>
                </c:pt>
                <c:pt idx="110">
                  <c:v>289</c:v>
                </c:pt>
                <c:pt idx="111">
                  <c:v>67</c:v>
                </c:pt>
                <c:pt idx="112">
                  <c:v>47</c:v>
                </c:pt>
                <c:pt idx="113">
                  <c:v>568</c:v>
                </c:pt>
                <c:pt idx="114">
                  <c:v>36</c:v>
                </c:pt>
                <c:pt idx="115">
                  <c:v>39</c:v>
                </c:pt>
                <c:pt idx="116">
                  <c:v>41</c:v>
                </c:pt>
                <c:pt idx="117">
                  <c:v>192</c:v>
                </c:pt>
                <c:pt idx="118">
                  <c:v>40</c:v>
                </c:pt>
                <c:pt idx="119">
                  <c:v>371</c:v>
                </c:pt>
                <c:pt idx="120">
                  <c:v>147</c:v>
                </c:pt>
                <c:pt idx="121">
                  <c:v>46</c:v>
                </c:pt>
                <c:pt idx="122">
                  <c:v>45</c:v>
                </c:pt>
                <c:pt idx="123">
                  <c:v>109</c:v>
                </c:pt>
                <c:pt idx="124">
                  <c:v>29</c:v>
                </c:pt>
                <c:pt idx="125">
                  <c:v>26</c:v>
                </c:pt>
                <c:pt idx="126">
                  <c:v>64</c:v>
                </c:pt>
                <c:pt idx="127">
                  <c:v>43</c:v>
                </c:pt>
                <c:pt idx="128">
                  <c:v>45</c:v>
                </c:pt>
                <c:pt idx="129">
                  <c:v>23</c:v>
                </c:pt>
                <c:pt idx="130">
                  <c:v>76</c:v>
                </c:pt>
                <c:pt idx="131">
                  <c:v>63</c:v>
                </c:pt>
                <c:pt idx="132">
                  <c:v>126</c:v>
                </c:pt>
                <c:pt idx="133">
                  <c:v>34</c:v>
                </c:pt>
                <c:pt idx="134">
                  <c:v>105</c:v>
                </c:pt>
                <c:pt idx="135">
                  <c:v>47</c:v>
                </c:pt>
                <c:pt idx="136">
                  <c:v>186</c:v>
                </c:pt>
                <c:pt idx="137">
                  <c:v>130</c:v>
                </c:pt>
                <c:pt idx="138">
                  <c:v>76</c:v>
                </c:pt>
                <c:pt idx="139">
                  <c:v>116</c:v>
                </c:pt>
                <c:pt idx="140">
                  <c:v>150</c:v>
                </c:pt>
                <c:pt idx="141">
                  <c:v>32</c:v>
                </c:pt>
                <c:pt idx="142">
                  <c:v>272</c:v>
                </c:pt>
                <c:pt idx="143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E-7741-9D89-9214EC20C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37120"/>
        <c:axId val="639192736"/>
      </c:scatterChart>
      <c:valAx>
        <c:axId val="71363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  <a:r>
                  <a:rPr lang="en-US" baseline="0"/>
                  <a:t> of Students (N=145)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28935279965004373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92736"/>
        <c:crosses val="autoZero"/>
        <c:crossBetween val="midCat"/>
      </c:valAx>
      <c:valAx>
        <c:axId val="6391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spend during Teaching Cell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63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Sheet3!$P$10</c:f>
              <c:strCache>
                <c:ptCount val="1"/>
                <c:pt idx="0">
                  <c:v>Guidence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Sheet3!$O$11:$O$15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Sheet3!$P$11:$P$15</c:f>
              <c:numCache>
                <c:formatCode>0%</c:formatCode>
                <c:ptCount val="5"/>
                <c:pt idx="0">
                  <c:v>0.32380952380952382</c:v>
                </c:pt>
                <c:pt idx="1">
                  <c:v>0.38095238095238093</c:v>
                </c:pt>
                <c:pt idx="2">
                  <c:v>0.22857142857142856</c:v>
                </c:pt>
                <c:pt idx="3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9-E44A-AB26-040531B0F043}"/>
            </c:ext>
          </c:extLst>
        </c:ser>
        <c:ser>
          <c:idx val="1"/>
          <c:order val="1"/>
          <c:tx>
            <c:strRef>
              <c:f>Sheet3!$Q$10</c:f>
              <c:strCache>
                <c:ptCount val="1"/>
                <c:pt idx="0">
                  <c:v>Teaching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Sheet3!$O$11:$O$15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Sheet3!$Q$11:$Q$15</c:f>
              <c:numCache>
                <c:formatCode>0%</c:formatCode>
                <c:ptCount val="5"/>
                <c:pt idx="0">
                  <c:v>0.20952380952380953</c:v>
                </c:pt>
                <c:pt idx="1">
                  <c:v>0.63809523809523805</c:v>
                </c:pt>
                <c:pt idx="2">
                  <c:v>3.8095238095238099E-2</c:v>
                </c:pt>
                <c:pt idx="3">
                  <c:v>0.11428571428571428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9-E44A-AB26-040531B0F043}"/>
            </c:ext>
          </c:extLst>
        </c:ser>
        <c:ser>
          <c:idx val="2"/>
          <c:order val="2"/>
          <c:tx>
            <c:strRef>
              <c:f>Sheet3!$R$10</c:f>
              <c:strCache>
                <c:ptCount val="1"/>
                <c:pt idx="0">
                  <c:v>Exercise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Sheet3!$O$11:$O$15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Sheet3!$R$11:$R$15</c:f>
              <c:numCache>
                <c:formatCode>0%</c:formatCode>
                <c:ptCount val="5"/>
                <c:pt idx="0">
                  <c:v>9.5238095238095233E-2</c:v>
                </c:pt>
                <c:pt idx="1">
                  <c:v>0.19047619047619047</c:v>
                </c:pt>
                <c:pt idx="2">
                  <c:v>0.29523809523809524</c:v>
                </c:pt>
                <c:pt idx="3">
                  <c:v>0.20952380952380953</c:v>
                </c:pt>
                <c:pt idx="4">
                  <c:v>0.20952380952380953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E9-E44A-AB26-040531B0F0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6194944"/>
        <c:axId val="636269424"/>
      </c:lineChart>
      <c:catAx>
        <c:axId val="63619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Intention to Engage or engagement</a:t>
                </a:r>
                <a:r>
                  <a:rPr lang="en-US" baseline="0"/>
                  <a:t> with number of elements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69424"/>
        <c:crosses val="autoZero"/>
        <c:auto val="1"/>
        <c:lblAlgn val="ctr"/>
        <c:lblOffset val="100"/>
        <c:noMultiLvlLbl val="0"/>
      </c:catAx>
      <c:valAx>
        <c:axId val="636269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Persentage</a:t>
                </a:r>
                <a:r>
                  <a:rPr lang="en-US" baseline="0"/>
                  <a:t> of Users in Steps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27</xdr:row>
      <xdr:rowOff>88900</xdr:rowOff>
    </xdr:from>
    <xdr:to>
      <xdr:col>13</xdr:col>
      <xdr:colOff>304800</xdr:colOff>
      <xdr:row>43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4998C8-A245-4D6D-9A93-DEAF6F27B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12</xdr:row>
      <xdr:rowOff>146050</xdr:rowOff>
    </xdr:from>
    <xdr:to>
      <xdr:col>24</xdr:col>
      <xdr:colOff>406400</xdr:colOff>
      <xdr:row>29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ED4266-3F3F-78AD-2988-7111313DC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20A2-35F5-6A4A-BD2F-AD7CF504BD1E}">
  <dimension ref="A1:AM146"/>
  <sheetViews>
    <sheetView tabSelected="1" topLeftCell="D135" workbookViewId="0">
      <selection activeCell="T138" sqref="T138"/>
    </sheetView>
  </sheetViews>
  <sheetFormatPr baseColWidth="10" defaultRowHeight="16" x14ac:dyDescent="0.2"/>
  <cols>
    <col min="1" max="1" width="13.83203125" customWidth="1"/>
    <col min="38" max="38" width="7" customWidth="1"/>
  </cols>
  <sheetData>
    <row r="1" spans="1:39" x14ac:dyDescent="0.2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128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126</v>
      </c>
      <c r="AM1" t="s">
        <v>127</v>
      </c>
    </row>
    <row r="2" spans="1:39" x14ac:dyDescent="0.2">
      <c r="A2" t="s">
        <v>6</v>
      </c>
      <c r="B2">
        <v>100</v>
      </c>
      <c r="C2">
        <v>1497</v>
      </c>
      <c r="D2">
        <v>1</v>
      </c>
      <c r="E2">
        <v>95143001</v>
      </c>
      <c r="F2">
        <v>2</v>
      </c>
      <c r="G2">
        <v>1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f>SUM(I2:T2)</f>
        <v>3</v>
      </c>
      <c r="V2" t="s">
        <v>124</v>
      </c>
      <c r="W2" t="s">
        <v>124</v>
      </c>
      <c r="X2" t="s">
        <v>125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3</v>
      </c>
      <c r="AM2">
        <v>3</v>
      </c>
    </row>
    <row r="3" spans="1:39" x14ac:dyDescent="0.2">
      <c r="A3" t="s">
        <v>1</v>
      </c>
      <c r="B3">
        <v>100</v>
      </c>
      <c r="C3">
        <v>2074</v>
      </c>
      <c r="D3">
        <v>1</v>
      </c>
      <c r="E3" s="1">
        <v>95143002</v>
      </c>
      <c r="F3">
        <v>3</v>
      </c>
      <c r="G3">
        <v>2</v>
      </c>
      <c r="H3">
        <v>2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f>SUM(I3:T3)</f>
        <v>6</v>
      </c>
      <c r="V3" t="s">
        <v>124</v>
      </c>
      <c r="W3" t="s">
        <v>124</v>
      </c>
      <c r="X3" t="s">
        <v>124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2</v>
      </c>
      <c r="AM3">
        <v>3</v>
      </c>
    </row>
    <row r="4" spans="1:39" x14ac:dyDescent="0.2">
      <c r="A4" t="s">
        <v>2</v>
      </c>
      <c r="B4">
        <v>93</v>
      </c>
      <c r="C4">
        <v>1334</v>
      </c>
      <c r="D4">
        <v>1</v>
      </c>
      <c r="E4">
        <v>95143003</v>
      </c>
      <c r="F4">
        <v>3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f t="shared" ref="U4:U67" si="0">SUM(I4:T4)</f>
        <v>2</v>
      </c>
      <c r="V4" t="s">
        <v>125</v>
      </c>
      <c r="W4" t="s">
        <v>125</v>
      </c>
      <c r="X4" t="s">
        <v>125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1</v>
      </c>
      <c r="AJ4">
        <v>1</v>
      </c>
      <c r="AK4">
        <v>0</v>
      </c>
      <c r="AL4">
        <v>3</v>
      </c>
      <c r="AM4">
        <v>4</v>
      </c>
    </row>
    <row r="5" spans="1:39" x14ac:dyDescent="0.2">
      <c r="A5" t="s">
        <v>1</v>
      </c>
      <c r="B5">
        <v>100</v>
      </c>
      <c r="C5">
        <v>1153</v>
      </c>
      <c r="D5">
        <v>1</v>
      </c>
      <c r="E5">
        <v>95143004</v>
      </c>
      <c r="F5">
        <v>2</v>
      </c>
      <c r="G5">
        <v>1</v>
      </c>
      <c r="H5">
        <v>2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f t="shared" si="0"/>
        <v>4</v>
      </c>
      <c r="V5" t="s">
        <v>124</v>
      </c>
      <c r="W5" t="s">
        <v>125</v>
      </c>
      <c r="X5" t="s">
        <v>125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1</v>
      </c>
      <c r="AJ5">
        <v>1</v>
      </c>
      <c r="AK5">
        <v>0</v>
      </c>
      <c r="AL5">
        <v>4</v>
      </c>
      <c r="AM5">
        <v>5</v>
      </c>
    </row>
    <row r="6" spans="1:39" x14ac:dyDescent="0.2">
      <c r="A6" t="s">
        <v>3</v>
      </c>
      <c r="B6">
        <v>100</v>
      </c>
      <c r="C6">
        <v>1602</v>
      </c>
      <c r="D6">
        <v>1</v>
      </c>
      <c r="E6">
        <v>95143005</v>
      </c>
      <c r="F6">
        <v>2</v>
      </c>
      <c r="G6">
        <v>1</v>
      </c>
      <c r="H6">
        <v>2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f t="shared" si="0"/>
        <v>4</v>
      </c>
      <c r="V6" t="s">
        <v>125</v>
      </c>
      <c r="W6" t="s">
        <v>124</v>
      </c>
      <c r="X6" t="s">
        <v>124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3</v>
      </c>
      <c r="AM6">
        <v>4</v>
      </c>
    </row>
    <row r="7" spans="1:39" x14ac:dyDescent="0.2">
      <c r="A7" t="s">
        <v>4</v>
      </c>
      <c r="B7">
        <v>100</v>
      </c>
      <c r="C7">
        <v>1187</v>
      </c>
      <c r="D7">
        <v>1</v>
      </c>
      <c r="E7" s="1">
        <v>95143006</v>
      </c>
      <c r="F7">
        <v>2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f t="shared" si="0"/>
        <v>1</v>
      </c>
      <c r="V7" t="s">
        <v>125</v>
      </c>
      <c r="W7" t="s">
        <v>125</v>
      </c>
      <c r="X7" t="s">
        <v>125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1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3</v>
      </c>
      <c r="AM7">
        <v>3</v>
      </c>
    </row>
    <row r="8" spans="1:39" x14ac:dyDescent="0.2">
      <c r="A8" t="s">
        <v>5</v>
      </c>
      <c r="B8">
        <v>100</v>
      </c>
      <c r="C8">
        <v>1016</v>
      </c>
      <c r="D8">
        <v>1</v>
      </c>
      <c r="E8">
        <v>95143007</v>
      </c>
      <c r="F8">
        <v>3</v>
      </c>
      <c r="G8">
        <v>2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f t="shared" si="0"/>
        <v>12</v>
      </c>
      <c r="V8" t="s">
        <v>125</v>
      </c>
      <c r="W8" t="s">
        <v>125</v>
      </c>
      <c r="X8" t="s">
        <v>125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3</v>
      </c>
      <c r="AM8">
        <v>4</v>
      </c>
    </row>
    <row r="9" spans="1:39" x14ac:dyDescent="0.2">
      <c r="A9" t="s">
        <v>6</v>
      </c>
      <c r="B9">
        <v>55</v>
      </c>
      <c r="C9">
        <v>1879</v>
      </c>
      <c r="D9">
        <v>1</v>
      </c>
      <c r="E9">
        <v>95143008</v>
      </c>
      <c r="F9">
        <v>3</v>
      </c>
      <c r="G9">
        <v>1</v>
      </c>
      <c r="H9">
        <v>2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f t="shared" si="0"/>
        <v>3</v>
      </c>
      <c r="V9" t="s">
        <v>124</v>
      </c>
      <c r="W9" t="s">
        <v>124</v>
      </c>
      <c r="X9" t="s">
        <v>125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4</v>
      </c>
      <c r="AM9">
        <v>4</v>
      </c>
    </row>
    <row r="10" spans="1:39" x14ac:dyDescent="0.2">
      <c r="A10" t="s">
        <v>7</v>
      </c>
      <c r="B10">
        <v>81</v>
      </c>
      <c r="C10">
        <v>679</v>
      </c>
      <c r="D10">
        <v>1</v>
      </c>
      <c r="E10">
        <v>95143009</v>
      </c>
      <c r="F10">
        <v>3</v>
      </c>
      <c r="G10">
        <v>2</v>
      </c>
      <c r="H10">
        <v>4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f t="shared" si="0"/>
        <v>7</v>
      </c>
      <c r="V10" t="s">
        <v>125</v>
      </c>
      <c r="W10" t="s">
        <v>125</v>
      </c>
      <c r="X10" t="s">
        <v>125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3</v>
      </c>
      <c r="AM10">
        <v>5</v>
      </c>
    </row>
    <row r="11" spans="1:39" x14ac:dyDescent="0.2">
      <c r="A11" t="s">
        <v>8</v>
      </c>
      <c r="B11">
        <v>100</v>
      </c>
      <c r="C11">
        <v>865</v>
      </c>
      <c r="D11">
        <v>1</v>
      </c>
      <c r="E11" s="1">
        <v>95143010</v>
      </c>
      <c r="F11">
        <v>3</v>
      </c>
      <c r="G11">
        <v>1</v>
      </c>
      <c r="H11">
        <v>2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f t="shared" si="0"/>
        <v>4</v>
      </c>
      <c r="V11" t="s">
        <v>124</v>
      </c>
      <c r="W11" t="s">
        <v>125</v>
      </c>
      <c r="X11" t="s">
        <v>124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4</v>
      </c>
      <c r="AM11">
        <v>5</v>
      </c>
    </row>
    <row r="12" spans="1:39" x14ac:dyDescent="0.2">
      <c r="A12" t="s">
        <v>9</v>
      </c>
      <c r="B12">
        <v>100</v>
      </c>
      <c r="C12">
        <v>594</v>
      </c>
      <c r="D12">
        <v>1</v>
      </c>
      <c r="E12">
        <v>95143011</v>
      </c>
      <c r="F12">
        <v>3</v>
      </c>
      <c r="G12">
        <v>3</v>
      </c>
      <c r="H12">
        <v>2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f t="shared" si="0"/>
        <v>6</v>
      </c>
      <c r="V12" t="s">
        <v>124</v>
      </c>
      <c r="W12" t="s">
        <v>125</v>
      </c>
      <c r="X12" t="s">
        <v>125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3</v>
      </c>
      <c r="AM12">
        <v>3</v>
      </c>
    </row>
    <row r="13" spans="1:39" x14ac:dyDescent="0.2">
      <c r="A13" t="s">
        <v>10</v>
      </c>
      <c r="B13">
        <v>89</v>
      </c>
      <c r="C13">
        <v>686</v>
      </c>
      <c r="D13">
        <v>1</v>
      </c>
      <c r="E13">
        <v>95143012</v>
      </c>
      <c r="F13">
        <v>3</v>
      </c>
      <c r="G13">
        <v>3</v>
      </c>
      <c r="H13">
        <v>2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0</v>
      </c>
      <c r="U13">
        <f t="shared" si="0"/>
        <v>8</v>
      </c>
      <c r="V13" t="s">
        <v>125</v>
      </c>
      <c r="W13" t="s">
        <v>125</v>
      </c>
      <c r="X13" t="s">
        <v>125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4</v>
      </c>
      <c r="AM13">
        <v>5</v>
      </c>
    </row>
    <row r="14" spans="1:39" x14ac:dyDescent="0.2">
      <c r="A14" t="s">
        <v>11</v>
      </c>
      <c r="B14">
        <v>100</v>
      </c>
      <c r="C14">
        <v>1298</v>
      </c>
      <c r="D14">
        <v>1</v>
      </c>
      <c r="E14">
        <v>95143013</v>
      </c>
      <c r="F14">
        <v>3</v>
      </c>
      <c r="G14">
        <v>2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f t="shared" si="0"/>
        <v>6</v>
      </c>
      <c r="V14" t="s">
        <v>124</v>
      </c>
      <c r="W14" t="s">
        <v>125</v>
      </c>
      <c r="X14" t="s">
        <v>125</v>
      </c>
      <c r="Y14">
        <v>0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3</v>
      </c>
      <c r="AM14">
        <v>4</v>
      </c>
    </row>
    <row r="15" spans="1:39" x14ac:dyDescent="0.2">
      <c r="A15" t="s">
        <v>12</v>
      </c>
      <c r="B15">
        <v>100</v>
      </c>
      <c r="C15">
        <v>1008</v>
      </c>
      <c r="D15">
        <v>1</v>
      </c>
      <c r="E15" s="1">
        <v>95143014</v>
      </c>
      <c r="F15">
        <v>3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f t="shared" si="0"/>
        <v>11</v>
      </c>
      <c r="V15" t="s">
        <v>125</v>
      </c>
      <c r="W15" t="s">
        <v>125</v>
      </c>
      <c r="X15" t="s">
        <v>125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3</v>
      </c>
      <c r="AM15">
        <v>5</v>
      </c>
    </row>
    <row r="16" spans="1:39" x14ac:dyDescent="0.2">
      <c r="A16" t="s">
        <v>13</v>
      </c>
      <c r="B16">
        <v>100</v>
      </c>
      <c r="C16">
        <v>642</v>
      </c>
      <c r="D16">
        <v>1</v>
      </c>
      <c r="E16">
        <v>95143015</v>
      </c>
      <c r="F16">
        <v>3</v>
      </c>
      <c r="G16">
        <v>1</v>
      </c>
      <c r="H16">
        <v>2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f t="shared" si="0"/>
        <v>4</v>
      </c>
      <c r="V16" t="s">
        <v>125</v>
      </c>
      <c r="W16" t="s">
        <v>125</v>
      </c>
      <c r="X16" t="s">
        <v>125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3</v>
      </c>
      <c r="AM16">
        <v>3</v>
      </c>
    </row>
    <row r="17" spans="1:39" x14ac:dyDescent="0.2">
      <c r="A17" t="s">
        <v>14</v>
      </c>
      <c r="B17">
        <v>100</v>
      </c>
      <c r="C17">
        <v>682</v>
      </c>
      <c r="D17">
        <v>1</v>
      </c>
      <c r="E17">
        <v>95143016</v>
      </c>
      <c r="F17">
        <v>3</v>
      </c>
      <c r="G17">
        <v>2</v>
      </c>
      <c r="H17">
        <v>2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f t="shared" si="0"/>
        <v>7</v>
      </c>
      <c r="V17" t="s">
        <v>125</v>
      </c>
      <c r="W17" t="s">
        <v>124</v>
      </c>
      <c r="X17" t="s">
        <v>125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3</v>
      </c>
      <c r="AM17">
        <v>5</v>
      </c>
    </row>
    <row r="18" spans="1:39" x14ac:dyDescent="0.2">
      <c r="A18" t="s">
        <v>15</v>
      </c>
      <c r="B18">
        <v>100</v>
      </c>
      <c r="C18">
        <v>653</v>
      </c>
      <c r="D18">
        <v>1</v>
      </c>
      <c r="E18">
        <v>95143017</v>
      </c>
      <c r="F18">
        <v>3</v>
      </c>
      <c r="G18">
        <v>2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f t="shared" si="0"/>
        <v>3</v>
      </c>
      <c r="V18" t="s">
        <v>125</v>
      </c>
      <c r="W18" t="s">
        <v>124</v>
      </c>
      <c r="X18" t="s">
        <v>125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4</v>
      </c>
      <c r="AM18">
        <v>4</v>
      </c>
    </row>
    <row r="19" spans="1:39" x14ac:dyDescent="0.2">
      <c r="A19" t="s">
        <v>16</v>
      </c>
      <c r="B19">
        <v>100</v>
      </c>
      <c r="C19">
        <v>2495</v>
      </c>
      <c r="D19">
        <v>1</v>
      </c>
      <c r="E19" s="1">
        <v>95143018</v>
      </c>
      <c r="F19">
        <v>3</v>
      </c>
      <c r="G19">
        <v>2</v>
      </c>
      <c r="H19">
        <v>2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f t="shared" si="0"/>
        <v>7</v>
      </c>
      <c r="V19" t="s">
        <v>124</v>
      </c>
      <c r="W19" t="s">
        <v>125</v>
      </c>
      <c r="X19" t="s">
        <v>125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2</v>
      </c>
      <c r="AM19">
        <v>3</v>
      </c>
    </row>
    <row r="20" spans="1:39" x14ac:dyDescent="0.2">
      <c r="A20" t="s">
        <v>17</v>
      </c>
      <c r="B20">
        <v>100</v>
      </c>
      <c r="C20">
        <v>686</v>
      </c>
      <c r="D20">
        <v>1</v>
      </c>
      <c r="E20">
        <v>95143019</v>
      </c>
      <c r="F20">
        <v>3</v>
      </c>
      <c r="G20">
        <v>3</v>
      </c>
      <c r="H20">
        <v>2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1</v>
      </c>
      <c r="U20">
        <f t="shared" si="0"/>
        <v>5</v>
      </c>
      <c r="V20" t="s">
        <v>124</v>
      </c>
      <c r="W20" t="s">
        <v>125</v>
      </c>
      <c r="X20" t="s">
        <v>125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4</v>
      </c>
      <c r="AM20">
        <v>4</v>
      </c>
    </row>
    <row r="21" spans="1:39" x14ac:dyDescent="0.2">
      <c r="A21" t="s">
        <v>18</v>
      </c>
      <c r="B21">
        <v>100</v>
      </c>
      <c r="C21">
        <v>968</v>
      </c>
      <c r="D21">
        <v>1</v>
      </c>
      <c r="E21">
        <v>95143020</v>
      </c>
      <c r="F21">
        <v>3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f t="shared" si="0"/>
        <v>12</v>
      </c>
      <c r="V21" t="s">
        <v>125</v>
      </c>
      <c r="W21" t="s">
        <v>125</v>
      </c>
      <c r="X21" t="s">
        <v>125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3</v>
      </c>
      <c r="AM21">
        <v>5</v>
      </c>
    </row>
    <row r="22" spans="1:39" x14ac:dyDescent="0.2">
      <c r="A22" t="s">
        <v>19</v>
      </c>
      <c r="B22">
        <v>100</v>
      </c>
      <c r="C22">
        <v>1497</v>
      </c>
      <c r="D22">
        <v>1</v>
      </c>
      <c r="E22">
        <v>95143021</v>
      </c>
      <c r="F22">
        <v>3</v>
      </c>
      <c r="G22">
        <v>1</v>
      </c>
      <c r="H22">
        <v>2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f t="shared" si="0"/>
        <v>4</v>
      </c>
      <c r="V22" t="s">
        <v>125</v>
      </c>
      <c r="W22" t="s">
        <v>124</v>
      </c>
      <c r="X22" t="s">
        <v>125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3</v>
      </c>
      <c r="AM22">
        <v>4</v>
      </c>
    </row>
    <row r="23" spans="1:39" x14ac:dyDescent="0.2">
      <c r="A23" t="s">
        <v>20</v>
      </c>
      <c r="B23">
        <v>100</v>
      </c>
      <c r="C23">
        <v>2074</v>
      </c>
      <c r="D23">
        <v>1</v>
      </c>
      <c r="E23" s="1">
        <v>95143022</v>
      </c>
      <c r="F23">
        <v>3</v>
      </c>
      <c r="G23">
        <v>3</v>
      </c>
      <c r="H23">
        <v>2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f t="shared" si="0"/>
        <v>2</v>
      </c>
      <c r="V23" t="s">
        <v>125</v>
      </c>
      <c r="W23" t="s">
        <v>125</v>
      </c>
      <c r="X23" t="s">
        <v>125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2</v>
      </c>
      <c r="AM23">
        <v>3</v>
      </c>
    </row>
    <row r="24" spans="1:39" x14ac:dyDescent="0.2">
      <c r="A24" t="s">
        <v>21</v>
      </c>
      <c r="B24">
        <v>100</v>
      </c>
      <c r="C24">
        <v>1334</v>
      </c>
      <c r="D24">
        <v>1</v>
      </c>
      <c r="E24">
        <v>95143023</v>
      </c>
      <c r="F24">
        <v>3</v>
      </c>
      <c r="G24">
        <v>1</v>
      </c>
      <c r="H24">
        <v>2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f t="shared" si="0"/>
        <v>5</v>
      </c>
      <c r="V24" t="s">
        <v>125</v>
      </c>
      <c r="W24" t="s">
        <v>125</v>
      </c>
      <c r="X24" t="s">
        <v>124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2</v>
      </c>
      <c r="AM24">
        <v>5</v>
      </c>
    </row>
    <row r="25" spans="1:39" x14ac:dyDescent="0.2">
      <c r="A25" t="s">
        <v>22</v>
      </c>
      <c r="B25">
        <v>100</v>
      </c>
      <c r="C25">
        <v>1153</v>
      </c>
      <c r="D25">
        <v>1</v>
      </c>
      <c r="E25">
        <v>95143024</v>
      </c>
      <c r="F25">
        <v>3</v>
      </c>
      <c r="G25">
        <v>2</v>
      </c>
      <c r="H25">
        <v>2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0</v>
      </c>
      <c r="T25">
        <v>1</v>
      </c>
      <c r="U25">
        <f t="shared" si="0"/>
        <v>8</v>
      </c>
      <c r="V25" t="s">
        <v>125</v>
      </c>
      <c r="W25" t="s">
        <v>124</v>
      </c>
      <c r="X25" t="s">
        <v>125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</v>
      </c>
      <c r="AM25">
        <v>3</v>
      </c>
    </row>
    <row r="26" spans="1:39" x14ac:dyDescent="0.2">
      <c r="A26" t="s">
        <v>23</v>
      </c>
      <c r="B26">
        <v>100</v>
      </c>
      <c r="C26">
        <v>1602</v>
      </c>
      <c r="D26">
        <v>1</v>
      </c>
      <c r="E26">
        <v>95143025</v>
      </c>
      <c r="F26">
        <v>3</v>
      </c>
      <c r="G26">
        <v>2</v>
      </c>
      <c r="H26">
        <v>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f t="shared" si="0"/>
        <v>12</v>
      </c>
      <c r="V26" t="s">
        <v>124</v>
      </c>
      <c r="W26" t="s">
        <v>124</v>
      </c>
      <c r="X26" t="s">
        <v>124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4</v>
      </c>
      <c r="AM26">
        <v>5</v>
      </c>
    </row>
    <row r="27" spans="1:39" x14ac:dyDescent="0.2">
      <c r="A27" t="s">
        <v>24</v>
      </c>
      <c r="B27">
        <v>100</v>
      </c>
      <c r="C27">
        <v>1187</v>
      </c>
      <c r="D27">
        <v>1</v>
      </c>
      <c r="E27" s="1">
        <v>95143026</v>
      </c>
      <c r="F27">
        <v>3</v>
      </c>
      <c r="G27">
        <v>1</v>
      </c>
      <c r="H27">
        <v>2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f t="shared" si="0"/>
        <v>12</v>
      </c>
      <c r="V27" t="s">
        <v>125</v>
      </c>
      <c r="W27" t="s">
        <v>125</v>
      </c>
      <c r="X27" t="s">
        <v>125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3</v>
      </c>
      <c r="AM27">
        <v>4</v>
      </c>
    </row>
    <row r="28" spans="1:39" x14ac:dyDescent="0.2">
      <c r="A28" t="s">
        <v>25</v>
      </c>
      <c r="B28">
        <v>100</v>
      </c>
      <c r="C28">
        <v>1016</v>
      </c>
      <c r="D28">
        <v>1</v>
      </c>
      <c r="E28">
        <v>95143027</v>
      </c>
      <c r="F28">
        <v>3</v>
      </c>
      <c r="G28">
        <v>1</v>
      </c>
      <c r="H28">
        <v>2</v>
      </c>
      <c r="I28">
        <v>0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f t="shared" si="0"/>
        <v>6</v>
      </c>
      <c r="V28" t="s">
        <v>125</v>
      </c>
      <c r="W28" t="s">
        <v>125</v>
      </c>
      <c r="X28" t="s">
        <v>125</v>
      </c>
      <c r="Y28">
        <v>1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3</v>
      </c>
      <c r="AM28">
        <v>4</v>
      </c>
    </row>
    <row r="29" spans="1:39" x14ac:dyDescent="0.2">
      <c r="A29" t="s">
        <v>26</v>
      </c>
      <c r="B29">
        <v>100</v>
      </c>
      <c r="C29">
        <v>1879</v>
      </c>
      <c r="D29">
        <v>1</v>
      </c>
      <c r="E29">
        <v>95143028</v>
      </c>
      <c r="F29">
        <v>2</v>
      </c>
      <c r="G29">
        <v>2</v>
      </c>
      <c r="H29">
        <v>2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1</v>
      </c>
      <c r="S29">
        <v>0</v>
      </c>
      <c r="T29">
        <v>1</v>
      </c>
      <c r="U29">
        <f t="shared" si="0"/>
        <v>6</v>
      </c>
      <c r="V29" t="s">
        <v>125</v>
      </c>
      <c r="W29" t="s">
        <v>124</v>
      </c>
      <c r="X29" t="s">
        <v>125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2</v>
      </c>
      <c r="AM29">
        <v>3</v>
      </c>
    </row>
    <row r="30" spans="1:39" x14ac:dyDescent="0.2">
      <c r="A30" t="s">
        <v>27</v>
      </c>
      <c r="B30">
        <v>100</v>
      </c>
      <c r="C30">
        <v>679</v>
      </c>
      <c r="D30">
        <v>1</v>
      </c>
      <c r="E30">
        <v>95143029</v>
      </c>
      <c r="F30">
        <v>3</v>
      </c>
      <c r="G30">
        <v>2</v>
      </c>
      <c r="H30">
        <v>2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f t="shared" si="0"/>
        <v>3</v>
      </c>
      <c r="V30" t="s">
        <v>125</v>
      </c>
      <c r="W30" t="s">
        <v>125</v>
      </c>
      <c r="X30" t="s">
        <v>124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2</v>
      </c>
      <c r="AM30">
        <v>3</v>
      </c>
    </row>
    <row r="31" spans="1:39" x14ac:dyDescent="0.2">
      <c r="A31" t="s">
        <v>27</v>
      </c>
      <c r="B31">
        <v>100</v>
      </c>
      <c r="C31">
        <v>865</v>
      </c>
      <c r="D31">
        <v>1</v>
      </c>
      <c r="E31" s="1">
        <v>95143030</v>
      </c>
      <c r="F31">
        <v>3</v>
      </c>
      <c r="G31">
        <v>2</v>
      </c>
      <c r="H31">
        <v>2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f t="shared" si="0"/>
        <v>3</v>
      </c>
      <c r="V31" t="s">
        <v>125</v>
      </c>
      <c r="W31" t="s">
        <v>125</v>
      </c>
      <c r="X31" t="s">
        <v>125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4</v>
      </c>
      <c r="AM31">
        <v>4</v>
      </c>
    </row>
    <row r="32" spans="1:39" x14ac:dyDescent="0.2">
      <c r="A32" t="s">
        <v>28</v>
      </c>
      <c r="B32">
        <v>100</v>
      </c>
      <c r="C32">
        <v>594</v>
      </c>
      <c r="D32">
        <v>1</v>
      </c>
      <c r="E32">
        <v>95143031</v>
      </c>
      <c r="F32">
        <v>3</v>
      </c>
      <c r="G32">
        <v>1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f t="shared" si="0"/>
        <v>1</v>
      </c>
      <c r="V32" t="s">
        <v>125</v>
      </c>
      <c r="W32" t="s">
        <v>125</v>
      </c>
      <c r="X32" t="s">
        <v>125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4</v>
      </c>
      <c r="AM32">
        <v>5</v>
      </c>
    </row>
    <row r="33" spans="1:39" x14ac:dyDescent="0.2">
      <c r="A33" t="s">
        <v>29</v>
      </c>
      <c r="B33">
        <v>100</v>
      </c>
      <c r="C33">
        <v>686</v>
      </c>
      <c r="D33">
        <v>1</v>
      </c>
      <c r="E33">
        <v>95143032</v>
      </c>
      <c r="F33">
        <v>3</v>
      </c>
      <c r="G33">
        <v>1</v>
      </c>
      <c r="H33">
        <v>2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f t="shared" si="0"/>
        <v>1</v>
      </c>
      <c r="V33" t="s">
        <v>125</v>
      </c>
      <c r="W33" t="s">
        <v>125</v>
      </c>
      <c r="X33" t="s">
        <v>125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2</v>
      </c>
      <c r="AM33">
        <v>2</v>
      </c>
    </row>
    <row r="34" spans="1:39" x14ac:dyDescent="0.2">
      <c r="A34" t="s">
        <v>29</v>
      </c>
      <c r="B34">
        <v>100</v>
      </c>
      <c r="C34">
        <v>1298</v>
      </c>
      <c r="D34">
        <v>1</v>
      </c>
      <c r="E34">
        <v>95143033</v>
      </c>
      <c r="F34">
        <v>2</v>
      </c>
      <c r="G34">
        <v>2</v>
      </c>
      <c r="H34">
        <v>1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f t="shared" si="0"/>
        <v>7</v>
      </c>
      <c r="V34" t="s">
        <v>125</v>
      </c>
      <c r="W34" t="s">
        <v>125</v>
      </c>
      <c r="X34" t="s">
        <v>124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4</v>
      </c>
      <c r="AM34">
        <v>5</v>
      </c>
    </row>
    <row r="35" spans="1:39" x14ac:dyDescent="0.2">
      <c r="A35" t="s">
        <v>29</v>
      </c>
      <c r="B35">
        <v>100</v>
      </c>
      <c r="C35">
        <v>1008</v>
      </c>
      <c r="D35">
        <v>1</v>
      </c>
      <c r="E35" s="1">
        <v>95143034</v>
      </c>
      <c r="F35">
        <v>2</v>
      </c>
      <c r="G35">
        <v>1</v>
      </c>
      <c r="H35">
        <v>2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f t="shared" si="0"/>
        <v>2</v>
      </c>
      <c r="V35" t="s">
        <v>124</v>
      </c>
      <c r="W35" t="s">
        <v>125</v>
      </c>
      <c r="X35" t="s">
        <v>125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2</v>
      </c>
      <c r="AM35">
        <v>4</v>
      </c>
    </row>
    <row r="36" spans="1:39" x14ac:dyDescent="0.2">
      <c r="A36" t="s">
        <v>30</v>
      </c>
      <c r="B36">
        <v>100</v>
      </c>
      <c r="C36">
        <v>642</v>
      </c>
      <c r="D36">
        <v>1</v>
      </c>
      <c r="E36">
        <v>95143035</v>
      </c>
      <c r="F36">
        <v>3</v>
      </c>
      <c r="G36">
        <v>1</v>
      </c>
      <c r="H36">
        <v>2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f t="shared" si="0"/>
        <v>4</v>
      </c>
      <c r="V36" t="s">
        <v>125</v>
      </c>
      <c r="W36" t="s">
        <v>124</v>
      </c>
      <c r="X36" t="s">
        <v>125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4</v>
      </c>
      <c r="AM36">
        <v>4</v>
      </c>
    </row>
    <row r="37" spans="1:39" x14ac:dyDescent="0.2">
      <c r="A37" t="s">
        <v>31</v>
      </c>
      <c r="B37">
        <v>100</v>
      </c>
      <c r="C37">
        <v>682</v>
      </c>
      <c r="D37">
        <v>1</v>
      </c>
      <c r="E37">
        <v>95143036</v>
      </c>
      <c r="F37">
        <v>2</v>
      </c>
      <c r="G37">
        <v>2</v>
      </c>
      <c r="H37">
        <v>2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f t="shared" si="0"/>
        <v>11</v>
      </c>
      <c r="V37" t="s">
        <v>125</v>
      </c>
      <c r="W37" t="s">
        <v>124</v>
      </c>
      <c r="X37" t="s">
        <v>125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0</v>
      </c>
      <c r="AL37">
        <v>3</v>
      </c>
      <c r="AM37">
        <v>4</v>
      </c>
    </row>
    <row r="38" spans="1:39" x14ac:dyDescent="0.2">
      <c r="A38" t="s">
        <v>32</v>
      </c>
      <c r="B38">
        <v>100</v>
      </c>
      <c r="C38">
        <v>653</v>
      </c>
      <c r="D38">
        <v>1</v>
      </c>
      <c r="E38">
        <v>95143037</v>
      </c>
      <c r="F38">
        <v>3</v>
      </c>
      <c r="G38">
        <v>2</v>
      </c>
      <c r="H38">
        <v>2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1</v>
      </c>
      <c r="T38">
        <v>0</v>
      </c>
      <c r="U38">
        <f t="shared" si="0"/>
        <v>5</v>
      </c>
      <c r="V38" t="s">
        <v>124</v>
      </c>
      <c r="W38" t="s">
        <v>125</v>
      </c>
      <c r="X38" t="s">
        <v>125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5</v>
      </c>
      <c r="AM38">
        <v>5</v>
      </c>
    </row>
    <row r="39" spans="1:39" x14ac:dyDescent="0.2">
      <c r="A39" t="s">
        <v>33</v>
      </c>
      <c r="B39">
        <v>100</v>
      </c>
      <c r="C39">
        <v>2495</v>
      </c>
      <c r="D39">
        <v>1</v>
      </c>
      <c r="E39" s="1">
        <v>95143038</v>
      </c>
      <c r="F39">
        <v>3</v>
      </c>
      <c r="G39">
        <v>2</v>
      </c>
      <c r="H39">
        <v>2</v>
      </c>
      <c r="I39">
        <v>1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f t="shared" si="0"/>
        <v>8</v>
      </c>
      <c r="V39" t="s">
        <v>125</v>
      </c>
      <c r="W39" t="s">
        <v>125</v>
      </c>
      <c r="X39" t="s">
        <v>124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2</v>
      </c>
      <c r="AM39">
        <v>5</v>
      </c>
    </row>
    <row r="40" spans="1:39" x14ac:dyDescent="0.2">
      <c r="A40" t="s">
        <v>34</v>
      </c>
      <c r="B40">
        <v>100</v>
      </c>
      <c r="C40">
        <v>686</v>
      </c>
      <c r="D40">
        <v>1</v>
      </c>
      <c r="E40">
        <v>95143039</v>
      </c>
      <c r="F40">
        <v>3</v>
      </c>
      <c r="G40">
        <v>1</v>
      </c>
      <c r="H40">
        <v>2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1</v>
      </c>
      <c r="U40">
        <f t="shared" si="0"/>
        <v>4</v>
      </c>
      <c r="V40" t="s">
        <v>125</v>
      </c>
      <c r="W40" t="s">
        <v>125</v>
      </c>
      <c r="X40" t="s">
        <v>125</v>
      </c>
      <c r="Y40">
        <v>0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4</v>
      </c>
      <c r="AM40">
        <v>4</v>
      </c>
    </row>
    <row r="41" spans="1:39" x14ac:dyDescent="0.2">
      <c r="A41" t="s">
        <v>35</v>
      </c>
      <c r="B41">
        <v>100</v>
      </c>
      <c r="C41">
        <v>968</v>
      </c>
      <c r="D41">
        <v>1</v>
      </c>
      <c r="E41">
        <v>95143040</v>
      </c>
      <c r="F41">
        <v>3</v>
      </c>
      <c r="G41">
        <v>1</v>
      </c>
      <c r="H41">
        <v>2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f t="shared" si="0"/>
        <v>3</v>
      </c>
      <c r="V41" t="s">
        <v>124</v>
      </c>
      <c r="W41" t="s">
        <v>124</v>
      </c>
      <c r="X41" t="s">
        <v>125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2</v>
      </c>
      <c r="AM41">
        <v>4</v>
      </c>
    </row>
    <row r="42" spans="1:39" x14ac:dyDescent="0.2">
      <c r="A42" t="s">
        <v>36</v>
      </c>
      <c r="B42">
        <v>100</v>
      </c>
      <c r="C42">
        <v>679</v>
      </c>
      <c r="D42">
        <v>1</v>
      </c>
      <c r="E42">
        <v>95143041</v>
      </c>
      <c r="F42">
        <v>3</v>
      </c>
      <c r="G42">
        <v>2</v>
      </c>
      <c r="H42">
        <v>3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U42">
        <f t="shared" si="0"/>
        <v>7</v>
      </c>
      <c r="V42" t="s">
        <v>125</v>
      </c>
      <c r="W42" t="s">
        <v>124</v>
      </c>
      <c r="X42" t="s">
        <v>125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5</v>
      </c>
    </row>
    <row r="43" spans="1:39" x14ac:dyDescent="0.2">
      <c r="A43" t="s">
        <v>37</v>
      </c>
      <c r="B43">
        <v>100</v>
      </c>
      <c r="C43">
        <v>865</v>
      </c>
      <c r="D43">
        <v>1</v>
      </c>
      <c r="E43" s="1">
        <v>95143042</v>
      </c>
      <c r="F43">
        <v>3</v>
      </c>
      <c r="G43">
        <v>1</v>
      </c>
      <c r="H43">
        <v>2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f t="shared" si="0"/>
        <v>3</v>
      </c>
      <c r="V43" t="s">
        <v>124</v>
      </c>
      <c r="W43" t="s">
        <v>125</v>
      </c>
      <c r="X43" t="s">
        <v>125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3</v>
      </c>
      <c r="AM43">
        <v>4</v>
      </c>
    </row>
    <row r="44" spans="1:39" x14ac:dyDescent="0.2">
      <c r="A44" t="s">
        <v>38</v>
      </c>
      <c r="B44">
        <v>100</v>
      </c>
      <c r="C44">
        <v>594</v>
      </c>
      <c r="D44">
        <v>1</v>
      </c>
      <c r="E44">
        <v>95143043</v>
      </c>
      <c r="F44">
        <v>3</v>
      </c>
      <c r="G44">
        <v>2</v>
      </c>
      <c r="H44">
        <v>2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f t="shared" si="0"/>
        <v>5</v>
      </c>
      <c r="V44" t="s">
        <v>124</v>
      </c>
      <c r="W44" t="s">
        <v>124</v>
      </c>
      <c r="X44" t="s">
        <v>125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4</v>
      </c>
      <c r="AM44">
        <v>4</v>
      </c>
    </row>
    <row r="45" spans="1:39" x14ac:dyDescent="0.2">
      <c r="A45" t="s">
        <v>38</v>
      </c>
      <c r="B45">
        <v>100</v>
      </c>
      <c r="C45">
        <v>686</v>
      </c>
      <c r="D45">
        <v>1</v>
      </c>
      <c r="E45">
        <v>95143044</v>
      </c>
      <c r="F45">
        <v>3</v>
      </c>
      <c r="G45">
        <v>2</v>
      </c>
      <c r="H45">
        <v>2</v>
      </c>
      <c r="I45">
        <v>0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0</v>
      </c>
      <c r="R45">
        <v>1</v>
      </c>
      <c r="S45">
        <v>0</v>
      </c>
      <c r="T45">
        <v>1</v>
      </c>
      <c r="U45">
        <f t="shared" si="0"/>
        <v>8</v>
      </c>
      <c r="V45" t="s">
        <v>125</v>
      </c>
      <c r="W45" t="s">
        <v>124</v>
      </c>
      <c r="X45" t="s">
        <v>125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 s="1">
        <v>0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2</v>
      </c>
      <c r="AM45">
        <v>2</v>
      </c>
    </row>
    <row r="46" spans="1:39" x14ac:dyDescent="0.2">
      <c r="A46" t="s">
        <v>39</v>
      </c>
      <c r="B46">
        <v>89</v>
      </c>
      <c r="C46">
        <v>1298</v>
      </c>
      <c r="D46">
        <v>1</v>
      </c>
      <c r="E46">
        <v>95143045</v>
      </c>
      <c r="F46">
        <v>3</v>
      </c>
      <c r="G46">
        <v>1</v>
      </c>
      <c r="H46">
        <v>2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f t="shared" si="0"/>
        <v>6</v>
      </c>
      <c r="V46" t="s">
        <v>124</v>
      </c>
      <c r="W46" t="s">
        <v>125</v>
      </c>
      <c r="X46" t="s">
        <v>125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4</v>
      </c>
      <c r="AM46">
        <v>4</v>
      </c>
    </row>
    <row r="47" spans="1:39" x14ac:dyDescent="0.2">
      <c r="A47" t="s">
        <v>40</v>
      </c>
      <c r="B47">
        <v>89</v>
      </c>
      <c r="C47">
        <v>1008</v>
      </c>
      <c r="D47">
        <v>1</v>
      </c>
      <c r="E47" s="1">
        <v>95143046</v>
      </c>
      <c r="F47">
        <v>2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f t="shared" si="0"/>
        <v>3</v>
      </c>
      <c r="V47" t="s">
        <v>124</v>
      </c>
      <c r="W47" t="s">
        <v>124</v>
      </c>
      <c r="X47" t="s">
        <v>125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3</v>
      </c>
      <c r="AM47">
        <v>4</v>
      </c>
    </row>
    <row r="48" spans="1:39" x14ac:dyDescent="0.2">
      <c r="A48" t="s">
        <v>41</v>
      </c>
      <c r="B48">
        <v>93</v>
      </c>
      <c r="C48">
        <v>642</v>
      </c>
      <c r="D48">
        <v>1</v>
      </c>
      <c r="E48">
        <v>95143047</v>
      </c>
      <c r="F48">
        <v>3</v>
      </c>
      <c r="G48">
        <v>2</v>
      </c>
      <c r="H48">
        <v>2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f t="shared" si="0"/>
        <v>6</v>
      </c>
      <c r="V48" t="s">
        <v>124</v>
      </c>
      <c r="W48" t="s">
        <v>124</v>
      </c>
      <c r="X48" t="s">
        <v>124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4</v>
      </c>
      <c r="AM48">
        <v>4</v>
      </c>
    </row>
    <row r="49" spans="1:39" x14ac:dyDescent="0.2">
      <c r="A49" t="s">
        <v>42</v>
      </c>
      <c r="B49">
        <v>89</v>
      </c>
      <c r="C49">
        <v>682</v>
      </c>
      <c r="D49">
        <v>1</v>
      </c>
      <c r="E49">
        <v>95143048</v>
      </c>
      <c r="F49">
        <v>3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f t="shared" si="0"/>
        <v>2</v>
      </c>
      <c r="V49" t="s">
        <v>125</v>
      </c>
      <c r="W49" t="s">
        <v>125</v>
      </c>
      <c r="X49" t="s">
        <v>125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1</v>
      </c>
      <c r="AJ49">
        <v>1</v>
      </c>
      <c r="AK49">
        <v>0</v>
      </c>
      <c r="AL49">
        <v>2</v>
      </c>
      <c r="AM49">
        <v>5</v>
      </c>
    </row>
    <row r="50" spans="1:39" x14ac:dyDescent="0.2">
      <c r="A50" t="s">
        <v>43</v>
      </c>
      <c r="B50">
        <v>100</v>
      </c>
      <c r="C50">
        <v>653</v>
      </c>
      <c r="D50">
        <v>1</v>
      </c>
      <c r="E50">
        <v>95143049</v>
      </c>
      <c r="F50">
        <v>2</v>
      </c>
      <c r="G50">
        <v>1</v>
      </c>
      <c r="H50">
        <v>2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f t="shared" si="0"/>
        <v>4</v>
      </c>
      <c r="V50" t="s">
        <v>124</v>
      </c>
      <c r="W50" t="s">
        <v>125</v>
      </c>
      <c r="X50" t="s">
        <v>125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1</v>
      </c>
      <c r="AM50">
        <v>4</v>
      </c>
    </row>
    <row r="51" spans="1:39" x14ac:dyDescent="0.2">
      <c r="A51" t="s">
        <v>44</v>
      </c>
      <c r="B51">
        <v>89</v>
      </c>
      <c r="C51">
        <v>2495</v>
      </c>
      <c r="D51">
        <v>1</v>
      </c>
      <c r="E51" s="1">
        <v>95143050</v>
      </c>
      <c r="F51">
        <v>2</v>
      </c>
      <c r="G51">
        <v>1</v>
      </c>
      <c r="H51">
        <v>2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f t="shared" si="0"/>
        <v>4</v>
      </c>
      <c r="V51" t="s">
        <v>125</v>
      </c>
      <c r="W51" t="s">
        <v>124</v>
      </c>
      <c r="X51" t="s">
        <v>124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5</v>
      </c>
      <c r="AM51">
        <v>5</v>
      </c>
    </row>
    <row r="52" spans="1:39" x14ac:dyDescent="0.2">
      <c r="A52" t="s">
        <v>45</v>
      </c>
      <c r="B52">
        <v>100</v>
      </c>
      <c r="C52">
        <v>686</v>
      </c>
      <c r="D52">
        <v>1</v>
      </c>
      <c r="E52">
        <v>95143051</v>
      </c>
      <c r="F52">
        <v>2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f t="shared" si="0"/>
        <v>1</v>
      </c>
      <c r="V52" t="s">
        <v>125</v>
      </c>
      <c r="W52" t="s">
        <v>125</v>
      </c>
      <c r="X52" t="s">
        <v>125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s="1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3</v>
      </c>
      <c r="AM52">
        <v>5</v>
      </c>
    </row>
    <row r="53" spans="1:39" x14ac:dyDescent="0.2">
      <c r="A53" t="s">
        <v>5</v>
      </c>
      <c r="B53">
        <v>100</v>
      </c>
      <c r="C53">
        <v>968</v>
      </c>
      <c r="D53">
        <v>1</v>
      </c>
      <c r="E53">
        <v>95143052</v>
      </c>
      <c r="F53">
        <v>3</v>
      </c>
      <c r="G53">
        <v>2</v>
      </c>
      <c r="H53">
        <v>3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f t="shared" si="0"/>
        <v>12</v>
      </c>
      <c r="V53" t="s">
        <v>125</v>
      </c>
      <c r="W53" t="s">
        <v>125</v>
      </c>
      <c r="X53" t="s">
        <v>125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3</v>
      </c>
      <c r="AM53">
        <v>4</v>
      </c>
    </row>
    <row r="54" spans="1:39" x14ac:dyDescent="0.2">
      <c r="A54" t="s">
        <v>46</v>
      </c>
      <c r="B54">
        <v>68</v>
      </c>
      <c r="C54">
        <v>1497</v>
      </c>
      <c r="D54">
        <v>1</v>
      </c>
      <c r="E54">
        <v>95143053</v>
      </c>
      <c r="F54">
        <v>3</v>
      </c>
      <c r="G54">
        <v>1</v>
      </c>
      <c r="H54">
        <v>2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f t="shared" si="0"/>
        <v>3</v>
      </c>
      <c r="V54" t="s">
        <v>124</v>
      </c>
      <c r="W54" t="s">
        <v>124</v>
      </c>
      <c r="X54" t="s">
        <v>125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5</v>
      </c>
      <c r="AM54">
        <v>5</v>
      </c>
    </row>
    <row r="55" spans="1:39" x14ac:dyDescent="0.2">
      <c r="A55" t="s">
        <v>47</v>
      </c>
      <c r="B55">
        <v>100</v>
      </c>
      <c r="C55">
        <v>2074</v>
      </c>
      <c r="D55">
        <v>1</v>
      </c>
      <c r="E55" s="1">
        <v>95143054</v>
      </c>
      <c r="F55">
        <v>3</v>
      </c>
      <c r="G55">
        <v>2</v>
      </c>
      <c r="H55">
        <v>4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f t="shared" si="0"/>
        <v>7</v>
      </c>
      <c r="V55" t="s">
        <v>125</v>
      </c>
      <c r="W55" t="s">
        <v>125</v>
      </c>
      <c r="X55" t="s">
        <v>125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1</v>
      </c>
      <c r="AJ55">
        <v>1</v>
      </c>
      <c r="AK55">
        <v>0</v>
      </c>
      <c r="AL55">
        <v>2</v>
      </c>
      <c r="AM55">
        <v>3</v>
      </c>
    </row>
    <row r="56" spans="1:39" x14ac:dyDescent="0.2">
      <c r="A56" t="s">
        <v>48</v>
      </c>
      <c r="B56">
        <v>100</v>
      </c>
      <c r="C56">
        <v>1334</v>
      </c>
      <c r="D56">
        <v>1</v>
      </c>
      <c r="E56">
        <v>95143055</v>
      </c>
      <c r="F56">
        <v>3</v>
      </c>
      <c r="G56">
        <v>1</v>
      </c>
      <c r="H56">
        <v>2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f t="shared" si="0"/>
        <v>4</v>
      </c>
      <c r="V56" t="s">
        <v>124</v>
      </c>
      <c r="W56" t="s">
        <v>125</v>
      </c>
      <c r="X56" t="s">
        <v>124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3</v>
      </c>
      <c r="AM56">
        <v>4</v>
      </c>
    </row>
    <row r="57" spans="1:39" x14ac:dyDescent="0.2">
      <c r="A57" t="s">
        <v>49</v>
      </c>
      <c r="B57">
        <v>100</v>
      </c>
      <c r="C57">
        <v>1153</v>
      </c>
      <c r="D57">
        <v>1</v>
      </c>
      <c r="E57">
        <v>95143056</v>
      </c>
      <c r="F57">
        <v>3</v>
      </c>
      <c r="G57">
        <v>3</v>
      </c>
      <c r="H57">
        <v>2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f t="shared" si="0"/>
        <v>6</v>
      </c>
      <c r="V57" t="s">
        <v>124</v>
      </c>
      <c r="W57" t="s">
        <v>125</v>
      </c>
      <c r="X57" t="s">
        <v>125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2</v>
      </c>
      <c r="AM57">
        <v>2</v>
      </c>
    </row>
    <row r="58" spans="1:39" x14ac:dyDescent="0.2">
      <c r="A58" t="s">
        <v>50</v>
      </c>
      <c r="B58">
        <v>89</v>
      </c>
      <c r="C58">
        <v>1602</v>
      </c>
      <c r="D58">
        <v>1</v>
      </c>
      <c r="E58">
        <v>95143057</v>
      </c>
      <c r="F58">
        <v>3</v>
      </c>
      <c r="G58">
        <v>3</v>
      </c>
      <c r="H58">
        <v>2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0</v>
      </c>
      <c r="U58">
        <f t="shared" si="0"/>
        <v>8</v>
      </c>
      <c r="V58" t="s">
        <v>125</v>
      </c>
      <c r="W58" t="s">
        <v>125</v>
      </c>
      <c r="X58" t="s">
        <v>125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3</v>
      </c>
      <c r="AM58">
        <v>4</v>
      </c>
    </row>
    <row r="59" spans="1:39" x14ac:dyDescent="0.2">
      <c r="A59" t="s">
        <v>51</v>
      </c>
      <c r="B59">
        <v>89</v>
      </c>
      <c r="C59">
        <v>1187</v>
      </c>
      <c r="D59">
        <v>1</v>
      </c>
      <c r="E59" s="1">
        <v>95143058</v>
      </c>
      <c r="F59">
        <v>3</v>
      </c>
      <c r="G59">
        <v>2</v>
      </c>
      <c r="H59">
        <v>1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  <c r="U59">
        <f t="shared" si="0"/>
        <v>6</v>
      </c>
      <c r="V59" t="s">
        <v>124</v>
      </c>
      <c r="W59" t="s">
        <v>125</v>
      </c>
      <c r="X59" t="s">
        <v>125</v>
      </c>
      <c r="Y59">
        <v>0</v>
      </c>
      <c r="Z59">
        <v>1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3</v>
      </c>
      <c r="AM59">
        <v>3</v>
      </c>
    </row>
    <row r="60" spans="1:39" x14ac:dyDescent="0.2">
      <c r="A60" t="s">
        <v>52</v>
      </c>
      <c r="B60">
        <v>100</v>
      </c>
      <c r="C60">
        <v>1016</v>
      </c>
      <c r="D60">
        <v>1</v>
      </c>
      <c r="E60">
        <v>95143059</v>
      </c>
      <c r="F60">
        <v>3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f t="shared" si="0"/>
        <v>11</v>
      </c>
      <c r="V60" t="s">
        <v>125</v>
      </c>
      <c r="W60" t="s">
        <v>125</v>
      </c>
      <c r="X60" t="s">
        <v>125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3</v>
      </c>
      <c r="AM60">
        <v>4</v>
      </c>
    </row>
    <row r="61" spans="1:39" x14ac:dyDescent="0.2">
      <c r="A61" t="s">
        <v>53</v>
      </c>
      <c r="B61">
        <v>61</v>
      </c>
      <c r="C61">
        <v>1879</v>
      </c>
      <c r="D61">
        <v>1</v>
      </c>
      <c r="E61">
        <v>95143060</v>
      </c>
      <c r="F61">
        <v>3</v>
      </c>
      <c r="G61">
        <v>1</v>
      </c>
      <c r="H61">
        <v>2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f t="shared" si="0"/>
        <v>4</v>
      </c>
      <c r="V61" t="s">
        <v>125</v>
      </c>
      <c r="W61" t="s">
        <v>125</v>
      </c>
      <c r="X61" t="s">
        <v>125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2</v>
      </c>
    </row>
    <row r="62" spans="1:39" x14ac:dyDescent="0.2">
      <c r="A62" t="s">
        <v>54</v>
      </c>
      <c r="B62">
        <v>68</v>
      </c>
      <c r="C62">
        <v>679</v>
      </c>
      <c r="D62">
        <v>1</v>
      </c>
      <c r="E62">
        <v>95143061</v>
      </c>
      <c r="F62">
        <v>3</v>
      </c>
      <c r="G62">
        <v>2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f t="shared" si="0"/>
        <v>7</v>
      </c>
      <c r="V62" t="s">
        <v>125</v>
      </c>
      <c r="W62" t="s">
        <v>124</v>
      </c>
      <c r="X62" t="s">
        <v>125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3</v>
      </c>
      <c r="AM62">
        <v>4</v>
      </c>
    </row>
    <row r="63" spans="1:39" x14ac:dyDescent="0.2">
      <c r="A63" t="s">
        <v>55</v>
      </c>
      <c r="B63">
        <v>50</v>
      </c>
      <c r="C63">
        <v>1298</v>
      </c>
      <c r="D63">
        <v>1</v>
      </c>
      <c r="E63" s="1">
        <v>95143062</v>
      </c>
      <c r="F63">
        <v>3</v>
      </c>
      <c r="G63">
        <v>2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f t="shared" si="0"/>
        <v>3</v>
      </c>
      <c r="V63" t="s">
        <v>125</v>
      </c>
      <c r="W63" t="s">
        <v>124</v>
      </c>
      <c r="X63" t="s">
        <v>125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2</v>
      </c>
      <c r="AM63">
        <v>2</v>
      </c>
    </row>
    <row r="64" spans="1:39" x14ac:dyDescent="0.2">
      <c r="A64" t="s">
        <v>56</v>
      </c>
      <c r="B64">
        <v>89</v>
      </c>
      <c r="C64">
        <v>1008</v>
      </c>
      <c r="D64">
        <v>1</v>
      </c>
      <c r="E64">
        <v>95143063</v>
      </c>
      <c r="F64">
        <v>3</v>
      </c>
      <c r="G64">
        <v>2</v>
      </c>
      <c r="H64">
        <v>2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1</v>
      </c>
      <c r="T64">
        <v>1</v>
      </c>
      <c r="U64">
        <f t="shared" si="0"/>
        <v>7</v>
      </c>
      <c r="V64" t="s">
        <v>124</v>
      </c>
      <c r="W64" t="s">
        <v>125</v>
      </c>
      <c r="X64" t="s">
        <v>125</v>
      </c>
      <c r="Y64">
        <v>1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1</v>
      </c>
    </row>
    <row r="65" spans="1:39" x14ac:dyDescent="0.2">
      <c r="A65" t="s">
        <v>57</v>
      </c>
      <c r="B65">
        <v>89</v>
      </c>
      <c r="C65">
        <v>642</v>
      </c>
      <c r="D65">
        <v>1</v>
      </c>
      <c r="E65">
        <v>95143064</v>
      </c>
      <c r="F65">
        <v>3</v>
      </c>
      <c r="G65">
        <v>3</v>
      </c>
      <c r="H65">
        <v>2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f t="shared" si="0"/>
        <v>5</v>
      </c>
      <c r="V65" t="s">
        <v>124</v>
      </c>
      <c r="W65" t="s">
        <v>125</v>
      </c>
      <c r="X65" t="s">
        <v>125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2</v>
      </c>
      <c r="AM65">
        <v>3</v>
      </c>
    </row>
    <row r="66" spans="1:39" x14ac:dyDescent="0.2">
      <c r="A66" t="s">
        <v>58</v>
      </c>
      <c r="B66">
        <v>89</v>
      </c>
      <c r="C66">
        <v>682</v>
      </c>
      <c r="D66">
        <v>1</v>
      </c>
      <c r="E66">
        <v>95143065</v>
      </c>
      <c r="F66">
        <v>3</v>
      </c>
      <c r="G66">
        <v>1</v>
      </c>
      <c r="H66">
        <v>2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f t="shared" si="0"/>
        <v>12</v>
      </c>
      <c r="V66" t="s">
        <v>125</v>
      </c>
      <c r="W66" t="s">
        <v>125</v>
      </c>
      <c r="X66" t="s">
        <v>125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3</v>
      </c>
      <c r="AM66">
        <v>4</v>
      </c>
    </row>
    <row r="67" spans="1:39" x14ac:dyDescent="0.2">
      <c r="A67" t="s">
        <v>59</v>
      </c>
      <c r="B67">
        <v>89</v>
      </c>
      <c r="C67">
        <v>653</v>
      </c>
      <c r="D67">
        <v>1</v>
      </c>
      <c r="E67" s="1">
        <v>95143066</v>
      </c>
      <c r="F67">
        <v>3</v>
      </c>
      <c r="G67">
        <v>1</v>
      </c>
      <c r="H67">
        <v>2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f t="shared" si="0"/>
        <v>4</v>
      </c>
      <c r="V67" t="s">
        <v>125</v>
      </c>
      <c r="W67" t="s">
        <v>124</v>
      </c>
      <c r="X67" t="s">
        <v>125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3</v>
      </c>
      <c r="AM67">
        <v>4</v>
      </c>
    </row>
    <row r="68" spans="1:39" x14ac:dyDescent="0.2">
      <c r="A68" t="s">
        <v>60</v>
      </c>
      <c r="B68">
        <v>100</v>
      </c>
      <c r="C68">
        <v>2495</v>
      </c>
      <c r="D68">
        <v>1</v>
      </c>
      <c r="E68">
        <v>95143067</v>
      </c>
      <c r="F68">
        <v>3</v>
      </c>
      <c r="G68">
        <v>3</v>
      </c>
      <c r="H68">
        <v>2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f t="shared" ref="U68:U131" si="1">SUM(I68:T68)</f>
        <v>2</v>
      </c>
      <c r="V68" t="s">
        <v>125</v>
      </c>
      <c r="W68" t="s">
        <v>125</v>
      </c>
      <c r="X68" t="s">
        <v>125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3</v>
      </c>
      <c r="AM68">
        <v>4</v>
      </c>
    </row>
    <row r="69" spans="1:39" x14ac:dyDescent="0.2">
      <c r="A69" t="s">
        <v>60</v>
      </c>
      <c r="B69">
        <v>100</v>
      </c>
      <c r="C69">
        <v>686</v>
      </c>
      <c r="D69">
        <v>1</v>
      </c>
      <c r="E69">
        <v>95143068</v>
      </c>
      <c r="F69">
        <v>3</v>
      </c>
      <c r="G69">
        <v>1</v>
      </c>
      <c r="H69">
        <v>2</v>
      </c>
      <c r="I69">
        <v>1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f t="shared" si="1"/>
        <v>5</v>
      </c>
      <c r="V69" t="s">
        <v>125</v>
      </c>
      <c r="W69" t="s">
        <v>125</v>
      </c>
      <c r="X69" t="s">
        <v>124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1</v>
      </c>
      <c r="AM69">
        <v>2</v>
      </c>
    </row>
    <row r="70" spans="1:39" x14ac:dyDescent="0.2">
      <c r="A70" t="s">
        <v>48</v>
      </c>
      <c r="B70">
        <v>100</v>
      </c>
      <c r="C70">
        <v>968</v>
      </c>
      <c r="D70">
        <v>1</v>
      </c>
      <c r="E70">
        <v>95143069</v>
      </c>
      <c r="F70">
        <v>3</v>
      </c>
      <c r="G70">
        <v>2</v>
      </c>
      <c r="H70">
        <v>2</v>
      </c>
      <c r="I70">
        <v>0</v>
      </c>
      <c r="J70">
        <v>1</v>
      </c>
      <c r="K70">
        <v>1</v>
      </c>
      <c r="L70">
        <v>1</v>
      </c>
      <c r="M70">
        <v>0</v>
      </c>
      <c r="N70">
        <v>1</v>
      </c>
      <c r="O70">
        <v>0</v>
      </c>
      <c r="P70">
        <v>1</v>
      </c>
      <c r="Q70">
        <v>1</v>
      </c>
      <c r="R70">
        <v>1</v>
      </c>
      <c r="S70">
        <v>0</v>
      </c>
      <c r="T70">
        <v>1</v>
      </c>
      <c r="U70">
        <f t="shared" si="1"/>
        <v>8</v>
      </c>
      <c r="V70" t="s">
        <v>125</v>
      </c>
      <c r="W70" t="s">
        <v>124</v>
      </c>
      <c r="X70" t="s">
        <v>125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</v>
      </c>
      <c r="AM70">
        <v>3</v>
      </c>
    </row>
    <row r="71" spans="1:39" x14ac:dyDescent="0.2">
      <c r="A71" t="s">
        <v>61</v>
      </c>
      <c r="B71">
        <v>100</v>
      </c>
      <c r="C71">
        <v>679</v>
      </c>
      <c r="D71">
        <v>1</v>
      </c>
      <c r="E71" s="1">
        <v>95143070</v>
      </c>
      <c r="F71">
        <v>3</v>
      </c>
      <c r="G71">
        <v>2</v>
      </c>
      <c r="H71">
        <v>2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f t="shared" si="1"/>
        <v>12</v>
      </c>
      <c r="V71" t="s">
        <v>124</v>
      </c>
      <c r="W71" t="s">
        <v>124</v>
      </c>
      <c r="X71" t="s">
        <v>124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0</v>
      </c>
      <c r="AL71">
        <v>3</v>
      </c>
      <c r="AM71">
        <v>3</v>
      </c>
    </row>
    <row r="72" spans="1:39" x14ac:dyDescent="0.2">
      <c r="A72" t="s">
        <v>34</v>
      </c>
      <c r="B72">
        <v>100</v>
      </c>
      <c r="C72">
        <v>865</v>
      </c>
      <c r="D72">
        <v>1</v>
      </c>
      <c r="E72">
        <v>95143071</v>
      </c>
      <c r="F72">
        <v>3</v>
      </c>
      <c r="G72">
        <v>1</v>
      </c>
      <c r="H72">
        <v>2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f t="shared" si="1"/>
        <v>12</v>
      </c>
      <c r="V72" t="s">
        <v>125</v>
      </c>
      <c r="W72" t="s">
        <v>125</v>
      </c>
      <c r="X72" t="s">
        <v>125</v>
      </c>
      <c r="Y72">
        <v>1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2</v>
      </c>
      <c r="AM72">
        <v>2</v>
      </c>
    </row>
    <row r="73" spans="1:39" x14ac:dyDescent="0.2">
      <c r="A73" t="s">
        <v>62</v>
      </c>
      <c r="B73">
        <v>100</v>
      </c>
      <c r="C73">
        <v>594</v>
      </c>
      <c r="D73">
        <v>1</v>
      </c>
      <c r="E73">
        <v>95143072</v>
      </c>
      <c r="F73">
        <v>3</v>
      </c>
      <c r="G73">
        <v>1</v>
      </c>
      <c r="H73">
        <v>2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1</v>
      </c>
      <c r="U73">
        <f t="shared" si="1"/>
        <v>6</v>
      </c>
      <c r="V73" t="s">
        <v>125</v>
      </c>
      <c r="W73" t="s">
        <v>125</v>
      </c>
      <c r="X73" t="s">
        <v>125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3</v>
      </c>
      <c r="AM73">
        <v>3</v>
      </c>
    </row>
    <row r="74" spans="1:39" x14ac:dyDescent="0.2">
      <c r="A74" t="s">
        <v>35</v>
      </c>
      <c r="B74">
        <v>100</v>
      </c>
      <c r="C74">
        <v>686</v>
      </c>
      <c r="D74">
        <v>1</v>
      </c>
      <c r="E74">
        <v>95143073</v>
      </c>
      <c r="F74">
        <v>2</v>
      </c>
      <c r="G74">
        <v>2</v>
      </c>
      <c r="H74">
        <v>2</v>
      </c>
      <c r="I74">
        <v>0</v>
      </c>
      <c r="J74">
        <v>1</v>
      </c>
      <c r="K74">
        <v>0</v>
      </c>
      <c r="L74">
        <v>1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f t="shared" si="1"/>
        <v>6</v>
      </c>
      <c r="V74" t="s">
        <v>125</v>
      </c>
      <c r="W74" t="s">
        <v>124</v>
      </c>
      <c r="X74" t="s">
        <v>125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2</v>
      </c>
      <c r="AM74">
        <v>4</v>
      </c>
    </row>
    <row r="75" spans="1:39" x14ac:dyDescent="0.2">
      <c r="A75" t="s">
        <v>63</v>
      </c>
      <c r="B75">
        <v>100</v>
      </c>
      <c r="C75">
        <v>1298</v>
      </c>
      <c r="D75">
        <v>1</v>
      </c>
      <c r="E75" s="1">
        <v>95143074</v>
      </c>
      <c r="F75">
        <v>3</v>
      </c>
      <c r="G75">
        <v>2</v>
      </c>
      <c r="H75">
        <v>2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f t="shared" si="1"/>
        <v>3</v>
      </c>
      <c r="V75" t="s">
        <v>125</v>
      </c>
      <c r="W75" t="s">
        <v>125</v>
      </c>
      <c r="X75" t="s">
        <v>124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3</v>
      </c>
      <c r="AM75">
        <v>3</v>
      </c>
    </row>
    <row r="76" spans="1:39" x14ac:dyDescent="0.2">
      <c r="A76" t="s">
        <v>36</v>
      </c>
      <c r="B76">
        <v>89</v>
      </c>
      <c r="C76">
        <v>1008</v>
      </c>
      <c r="D76">
        <v>1</v>
      </c>
      <c r="E76">
        <v>95143075</v>
      </c>
      <c r="F76">
        <v>3</v>
      </c>
      <c r="G76">
        <v>2</v>
      </c>
      <c r="H76">
        <v>2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f t="shared" si="1"/>
        <v>3</v>
      </c>
      <c r="V76" t="s">
        <v>125</v>
      </c>
      <c r="W76" t="s">
        <v>125</v>
      </c>
      <c r="X76" t="s">
        <v>125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3</v>
      </c>
      <c r="AM76">
        <v>3</v>
      </c>
    </row>
    <row r="77" spans="1:39" x14ac:dyDescent="0.2">
      <c r="A77" t="s">
        <v>64</v>
      </c>
      <c r="B77">
        <v>89</v>
      </c>
      <c r="C77">
        <v>642</v>
      </c>
      <c r="D77">
        <v>1</v>
      </c>
      <c r="E77">
        <v>95143076</v>
      </c>
      <c r="F77">
        <v>3</v>
      </c>
      <c r="G77">
        <v>1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f t="shared" si="1"/>
        <v>1</v>
      </c>
      <c r="V77" t="s">
        <v>125</v>
      </c>
      <c r="W77" t="s">
        <v>125</v>
      </c>
      <c r="X77" t="s">
        <v>125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3</v>
      </c>
      <c r="AM77">
        <v>3</v>
      </c>
    </row>
    <row r="78" spans="1:39" x14ac:dyDescent="0.2">
      <c r="A78" t="s">
        <v>37</v>
      </c>
      <c r="B78">
        <v>93</v>
      </c>
      <c r="C78">
        <v>682</v>
      </c>
      <c r="D78">
        <v>1</v>
      </c>
      <c r="E78">
        <v>95143077</v>
      </c>
      <c r="F78">
        <v>3</v>
      </c>
      <c r="G78">
        <v>1</v>
      </c>
      <c r="H78">
        <v>2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f t="shared" si="1"/>
        <v>1</v>
      </c>
      <c r="V78" t="s">
        <v>125</v>
      </c>
      <c r="W78" t="s">
        <v>125</v>
      </c>
      <c r="X78" t="s">
        <v>125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2</v>
      </c>
      <c r="AM78">
        <v>3</v>
      </c>
    </row>
    <row r="79" spans="1:39" x14ac:dyDescent="0.2">
      <c r="A79" t="s">
        <v>65</v>
      </c>
      <c r="B79">
        <v>89</v>
      </c>
      <c r="C79">
        <v>653</v>
      </c>
      <c r="D79">
        <v>1</v>
      </c>
      <c r="E79" s="1">
        <v>95143078</v>
      </c>
      <c r="F79">
        <v>2</v>
      </c>
      <c r="G79">
        <v>2</v>
      </c>
      <c r="H79">
        <v>1</v>
      </c>
      <c r="I79">
        <v>0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1</v>
      </c>
      <c r="U79">
        <f t="shared" si="1"/>
        <v>7</v>
      </c>
      <c r="V79" t="s">
        <v>125</v>
      </c>
      <c r="W79" t="s">
        <v>125</v>
      </c>
      <c r="X79" t="s">
        <v>124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0</v>
      </c>
      <c r="AL79">
        <v>3</v>
      </c>
      <c r="AM79">
        <v>4</v>
      </c>
    </row>
    <row r="80" spans="1:39" x14ac:dyDescent="0.2">
      <c r="A80" t="s">
        <v>38</v>
      </c>
      <c r="B80">
        <v>100</v>
      </c>
      <c r="C80">
        <v>679</v>
      </c>
      <c r="D80">
        <v>1</v>
      </c>
      <c r="E80">
        <v>95143079</v>
      </c>
      <c r="F80">
        <v>2</v>
      </c>
      <c r="G80">
        <v>1</v>
      </c>
      <c r="H80">
        <v>2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f t="shared" si="1"/>
        <v>2</v>
      </c>
      <c r="V80" t="s">
        <v>124</v>
      </c>
      <c r="W80" t="s">
        <v>125</v>
      </c>
      <c r="X80" t="s">
        <v>125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3</v>
      </c>
      <c r="AM80">
        <v>3</v>
      </c>
    </row>
    <row r="81" spans="1:39" x14ac:dyDescent="0.2">
      <c r="A81" t="s">
        <v>38</v>
      </c>
      <c r="B81">
        <v>89</v>
      </c>
      <c r="C81">
        <v>1298</v>
      </c>
      <c r="D81">
        <v>1</v>
      </c>
      <c r="E81">
        <v>95143080</v>
      </c>
      <c r="F81">
        <v>3</v>
      </c>
      <c r="G81">
        <v>1</v>
      </c>
      <c r="H81">
        <v>2</v>
      </c>
      <c r="I81">
        <v>1</v>
      </c>
      <c r="J81">
        <v>0</v>
      </c>
      <c r="K81">
        <v>1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f t="shared" si="1"/>
        <v>4</v>
      </c>
      <c r="V81" t="s">
        <v>125</v>
      </c>
      <c r="W81" t="s">
        <v>124</v>
      </c>
      <c r="X81" t="s">
        <v>125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1</v>
      </c>
      <c r="AJ81">
        <v>0</v>
      </c>
      <c r="AK81">
        <v>0</v>
      </c>
      <c r="AL81">
        <v>3</v>
      </c>
      <c r="AM81">
        <v>4</v>
      </c>
    </row>
    <row r="82" spans="1:39" x14ac:dyDescent="0.2">
      <c r="A82" t="s">
        <v>66</v>
      </c>
      <c r="B82">
        <v>100</v>
      </c>
      <c r="C82">
        <v>1008</v>
      </c>
      <c r="D82">
        <v>1</v>
      </c>
      <c r="E82">
        <v>95143081</v>
      </c>
      <c r="F82">
        <v>2</v>
      </c>
      <c r="G82">
        <v>2</v>
      </c>
      <c r="H82">
        <v>2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f t="shared" si="1"/>
        <v>11</v>
      </c>
      <c r="V82" t="s">
        <v>125</v>
      </c>
      <c r="W82" t="s">
        <v>124</v>
      </c>
      <c r="X82" t="s">
        <v>125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1</v>
      </c>
      <c r="AK82">
        <v>0</v>
      </c>
      <c r="AL82">
        <v>0</v>
      </c>
      <c r="AM82">
        <v>2</v>
      </c>
    </row>
    <row r="83" spans="1:39" x14ac:dyDescent="0.2">
      <c r="A83" t="s">
        <v>67</v>
      </c>
      <c r="B83">
        <v>100</v>
      </c>
      <c r="C83">
        <v>642</v>
      </c>
      <c r="D83">
        <v>1</v>
      </c>
      <c r="E83" s="1">
        <v>95143082</v>
      </c>
      <c r="F83">
        <v>3</v>
      </c>
      <c r="G83">
        <v>2</v>
      </c>
      <c r="H83">
        <v>2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f t="shared" si="1"/>
        <v>5</v>
      </c>
      <c r="V83" t="s">
        <v>124</v>
      </c>
      <c r="W83" t="s">
        <v>125</v>
      </c>
      <c r="X83" t="s">
        <v>125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0</v>
      </c>
      <c r="AK83">
        <v>0</v>
      </c>
      <c r="AL83">
        <v>2</v>
      </c>
      <c r="AM83">
        <v>4</v>
      </c>
    </row>
    <row r="84" spans="1:39" x14ac:dyDescent="0.2">
      <c r="A84" t="s">
        <v>68</v>
      </c>
      <c r="B84">
        <v>68</v>
      </c>
      <c r="C84">
        <v>682</v>
      </c>
      <c r="D84">
        <v>1</v>
      </c>
      <c r="E84">
        <v>95143083</v>
      </c>
      <c r="F84">
        <v>3</v>
      </c>
      <c r="G84">
        <v>2</v>
      </c>
      <c r="H84">
        <v>2</v>
      </c>
      <c r="I84">
        <v>1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f t="shared" si="1"/>
        <v>8</v>
      </c>
      <c r="V84" t="s">
        <v>125</v>
      </c>
      <c r="W84" t="s">
        <v>125</v>
      </c>
      <c r="X84" t="s">
        <v>124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2</v>
      </c>
      <c r="AM84">
        <v>2</v>
      </c>
    </row>
    <row r="85" spans="1:39" x14ac:dyDescent="0.2">
      <c r="A85" t="s">
        <v>69</v>
      </c>
      <c r="B85">
        <v>100</v>
      </c>
      <c r="C85">
        <v>653</v>
      </c>
      <c r="D85">
        <v>1</v>
      </c>
      <c r="E85">
        <v>95143084</v>
      </c>
      <c r="F85">
        <v>3</v>
      </c>
      <c r="G85">
        <v>1</v>
      </c>
      <c r="H85">
        <v>2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f t="shared" si="1"/>
        <v>4</v>
      </c>
      <c r="V85" t="s">
        <v>125</v>
      </c>
      <c r="W85" t="s">
        <v>125</v>
      </c>
      <c r="X85" t="s">
        <v>125</v>
      </c>
      <c r="Y85">
        <v>0</v>
      </c>
      <c r="Z85">
        <v>0</v>
      </c>
      <c r="AA85">
        <v>1</v>
      </c>
      <c r="AB85">
        <v>0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3</v>
      </c>
      <c r="AM85">
        <v>4</v>
      </c>
    </row>
    <row r="86" spans="1:39" x14ac:dyDescent="0.2">
      <c r="A86" t="s">
        <v>70</v>
      </c>
      <c r="B86">
        <v>100</v>
      </c>
      <c r="C86">
        <v>2495</v>
      </c>
      <c r="D86">
        <v>1</v>
      </c>
      <c r="E86">
        <v>95143085</v>
      </c>
      <c r="F86">
        <v>3</v>
      </c>
      <c r="G86">
        <v>1</v>
      </c>
      <c r="H86">
        <v>2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f t="shared" si="1"/>
        <v>3</v>
      </c>
      <c r="V86" t="s">
        <v>124</v>
      </c>
      <c r="W86" t="s">
        <v>124</v>
      </c>
      <c r="X86" t="s">
        <v>125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3</v>
      </c>
      <c r="AM86">
        <v>5</v>
      </c>
    </row>
    <row r="87" spans="1:39" x14ac:dyDescent="0.2">
      <c r="A87" t="s">
        <v>71</v>
      </c>
      <c r="B87">
        <v>100</v>
      </c>
      <c r="C87">
        <v>686</v>
      </c>
      <c r="D87">
        <v>1</v>
      </c>
      <c r="E87" s="1">
        <v>95143086</v>
      </c>
      <c r="F87">
        <v>3</v>
      </c>
      <c r="G87">
        <v>2</v>
      </c>
      <c r="H87">
        <v>3</v>
      </c>
      <c r="I87">
        <v>0</v>
      </c>
      <c r="J87">
        <v>1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1</v>
      </c>
      <c r="S87">
        <v>1</v>
      </c>
      <c r="T87">
        <v>1</v>
      </c>
      <c r="U87">
        <f t="shared" si="1"/>
        <v>7</v>
      </c>
      <c r="V87" t="s">
        <v>125</v>
      </c>
      <c r="W87" t="s">
        <v>124</v>
      </c>
      <c r="X87" t="s">
        <v>125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0</v>
      </c>
      <c r="AL87">
        <v>2</v>
      </c>
      <c r="AM87">
        <v>3</v>
      </c>
    </row>
    <row r="88" spans="1:39" x14ac:dyDescent="0.2">
      <c r="A88" t="s">
        <v>72</v>
      </c>
      <c r="B88">
        <v>89</v>
      </c>
      <c r="C88">
        <v>968</v>
      </c>
      <c r="D88">
        <v>1</v>
      </c>
      <c r="E88">
        <v>95143087</v>
      </c>
      <c r="F88">
        <v>3</v>
      </c>
      <c r="G88">
        <v>1</v>
      </c>
      <c r="H88">
        <v>2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f t="shared" si="1"/>
        <v>3</v>
      </c>
      <c r="V88" t="s">
        <v>124</v>
      </c>
      <c r="W88" t="s">
        <v>125</v>
      </c>
      <c r="X88" t="s">
        <v>125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0</v>
      </c>
      <c r="AL88">
        <v>3</v>
      </c>
      <c r="AM88">
        <v>5</v>
      </c>
    </row>
    <row r="89" spans="1:39" x14ac:dyDescent="0.2">
      <c r="A89" t="s">
        <v>73</v>
      </c>
      <c r="B89">
        <v>89</v>
      </c>
      <c r="C89">
        <v>679</v>
      </c>
      <c r="D89">
        <v>1</v>
      </c>
      <c r="E89">
        <v>95143088</v>
      </c>
      <c r="F89">
        <v>3</v>
      </c>
      <c r="G89">
        <v>2</v>
      </c>
      <c r="H89">
        <v>2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1</v>
      </c>
      <c r="U89">
        <f t="shared" si="1"/>
        <v>5</v>
      </c>
      <c r="V89" t="s">
        <v>124</v>
      </c>
      <c r="W89" t="s">
        <v>124</v>
      </c>
      <c r="X89" t="s">
        <v>125</v>
      </c>
      <c r="Y89">
        <v>0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2</v>
      </c>
      <c r="AM89">
        <v>3</v>
      </c>
    </row>
    <row r="90" spans="1:39" x14ac:dyDescent="0.2">
      <c r="A90" t="s">
        <v>74</v>
      </c>
      <c r="B90">
        <v>100</v>
      </c>
      <c r="C90">
        <v>865</v>
      </c>
      <c r="D90">
        <v>1</v>
      </c>
      <c r="E90">
        <v>95143089</v>
      </c>
      <c r="F90">
        <v>3</v>
      </c>
      <c r="G90">
        <v>2</v>
      </c>
      <c r="H90">
        <v>2</v>
      </c>
      <c r="I90">
        <v>0</v>
      </c>
      <c r="J90">
        <v>1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  <c r="Q90">
        <v>0</v>
      </c>
      <c r="R90">
        <v>1</v>
      </c>
      <c r="S90">
        <v>0</v>
      </c>
      <c r="T90">
        <v>1</v>
      </c>
      <c r="U90">
        <f t="shared" si="1"/>
        <v>8</v>
      </c>
      <c r="V90" t="s">
        <v>125</v>
      </c>
      <c r="W90" t="s">
        <v>124</v>
      </c>
      <c r="X90" t="s">
        <v>125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 s="1">
        <v>0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0</v>
      </c>
      <c r="AL90">
        <v>3</v>
      </c>
      <c r="AM90">
        <v>3</v>
      </c>
    </row>
    <row r="91" spans="1:39" x14ac:dyDescent="0.2">
      <c r="A91" t="s">
        <v>75</v>
      </c>
      <c r="B91">
        <v>61</v>
      </c>
      <c r="C91">
        <v>594</v>
      </c>
      <c r="D91">
        <v>1</v>
      </c>
      <c r="E91" s="1">
        <v>95143090</v>
      </c>
      <c r="F91">
        <v>3</v>
      </c>
      <c r="G91">
        <v>1</v>
      </c>
      <c r="H91">
        <v>2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f t="shared" si="1"/>
        <v>6</v>
      </c>
      <c r="V91" t="s">
        <v>124</v>
      </c>
      <c r="W91" t="s">
        <v>125</v>
      </c>
      <c r="X91" t="s">
        <v>125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3</v>
      </c>
      <c r="AM91">
        <v>5</v>
      </c>
    </row>
    <row r="92" spans="1:39" x14ac:dyDescent="0.2">
      <c r="A92" t="s">
        <v>76</v>
      </c>
      <c r="B92">
        <v>68</v>
      </c>
      <c r="C92">
        <v>686</v>
      </c>
      <c r="D92">
        <v>1</v>
      </c>
      <c r="E92">
        <v>95143091</v>
      </c>
      <c r="F92">
        <v>3</v>
      </c>
      <c r="G92">
        <v>2</v>
      </c>
      <c r="H92">
        <v>3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f t="shared" si="1"/>
        <v>12</v>
      </c>
      <c r="V92" t="s">
        <v>125</v>
      </c>
      <c r="W92" t="s">
        <v>125</v>
      </c>
      <c r="X92" t="s">
        <v>125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0</v>
      </c>
      <c r="AK92">
        <v>0</v>
      </c>
      <c r="AL92">
        <v>3</v>
      </c>
      <c r="AM92">
        <v>4</v>
      </c>
    </row>
    <row r="93" spans="1:39" x14ac:dyDescent="0.2">
      <c r="A93" t="s">
        <v>77</v>
      </c>
      <c r="B93">
        <v>50</v>
      </c>
      <c r="C93">
        <v>642</v>
      </c>
      <c r="D93">
        <v>1</v>
      </c>
      <c r="E93">
        <v>95143092</v>
      </c>
      <c r="F93">
        <v>3</v>
      </c>
      <c r="G93">
        <v>1</v>
      </c>
      <c r="H93">
        <v>2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f t="shared" si="1"/>
        <v>3</v>
      </c>
      <c r="V93" t="s">
        <v>124</v>
      </c>
      <c r="W93" t="s">
        <v>124</v>
      </c>
      <c r="X93" t="s">
        <v>125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3</v>
      </c>
      <c r="AM93">
        <v>5</v>
      </c>
    </row>
    <row r="94" spans="1:39" x14ac:dyDescent="0.2">
      <c r="A94" t="s">
        <v>78</v>
      </c>
      <c r="B94">
        <v>89</v>
      </c>
      <c r="C94">
        <v>682</v>
      </c>
      <c r="D94">
        <v>1</v>
      </c>
      <c r="E94">
        <v>95143093</v>
      </c>
      <c r="F94">
        <v>3</v>
      </c>
      <c r="G94">
        <v>2</v>
      </c>
      <c r="H94">
        <v>4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f t="shared" si="1"/>
        <v>7</v>
      </c>
      <c r="V94" t="s">
        <v>125</v>
      </c>
      <c r="W94" t="s">
        <v>125</v>
      </c>
      <c r="X94" t="s">
        <v>125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1</v>
      </c>
      <c r="AJ94">
        <v>1</v>
      </c>
      <c r="AK94">
        <v>0</v>
      </c>
      <c r="AL94">
        <v>2</v>
      </c>
      <c r="AM94">
        <v>3</v>
      </c>
    </row>
    <row r="95" spans="1:39" x14ac:dyDescent="0.2">
      <c r="A95" t="s">
        <v>79</v>
      </c>
      <c r="B95">
        <v>89</v>
      </c>
      <c r="C95">
        <v>653</v>
      </c>
      <c r="D95">
        <v>1</v>
      </c>
      <c r="E95" s="1">
        <v>95143094</v>
      </c>
      <c r="F95">
        <v>3</v>
      </c>
      <c r="G95">
        <v>1</v>
      </c>
      <c r="H95">
        <v>2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f t="shared" si="1"/>
        <v>4</v>
      </c>
      <c r="V95" t="s">
        <v>124</v>
      </c>
      <c r="W95" t="s">
        <v>125</v>
      </c>
      <c r="X95" t="s">
        <v>124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5</v>
      </c>
      <c r="AM95">
        <v>5</v>
      </c>
    </row>
    <row r="96" spans="1:39" x14ac:dyDescent="0.2">
      <c r="A96" t="s">
        <v>80</v>
      </c>
      <c r="B96">
        <v>89</v>
      </c>
      <c r="C96">
        <v>679</v>
      </c>
      <c r="D96">
        <v>1</v>
      </c>
      <c r="E96">
        <v>95143095</v>
      </c>
      <c r="F96">
        <v>3</v>
      </c>
      <c r="G96">
        <v>3</v>
      </c>
      <c r="H96">
        <v>2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f t="shared" si="1"/>
        <v>6</v>
      </c>
      <c r="V96" t="s">
        <v>124</v>
      </c>
      <c r="W96" t="s">
        <v>125</v>
      </c>
      <c r="X96" t="s">
        <v>125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0</v>
      </c>
      <c r="AL96">
        <v>2</v>
      </c>
      <c r="AM96">
        <v>2</v>
      </c>
    </row>
    <row r="97" spans="1:39" x14ac:dyDescent="0.2">
      <c r="A97" t="s">
        <v>81</v>
      </c>
      <c r="B97">
        <v>89</v>
      </c>
      <c r="C97">
        <v>1298</v>
      </c>
      <c r="D97">
        <v>1</v>
      </c>
      <c r="E97">
        <v>95143096</v>
      </c>
      <c r="F97">
        <v>3</v>
      </c>
      <c r="G97">
        <v>3</v>
      </c>
      <c r="H97">
        <v>2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1</v>
      </c>
      <c r="T97">
        <v>0</v>
      </c>
      <c r="U97">
        <f t="shared" si="1"/>
        <v>8</v>
      </c>
      <c r="V97" t="s">
        <v>125</v>
      </c>
      <c r="W97" t="s">
        <v>125</v>
      </c>
      <c r="X97" t="s">
        <v>125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2</v>
      </c>
    </row>
    <row r="98" spans="1:39" x14ac:dyDescent="0.2">
      <c r="A98" t="s">
        <v>82</v>
      </c>
      <c r="B98">
        <v>100</v>
      </c>
      <c r="C98">
        <v>1008</v>
      </c>
      <c r="D98">
        <v>1</v>
      </c>
      <c r="E98">
        <v>95143097</v>
      </c>
      <c r="F98">
        <v>3</v>
      </c>
      <c r="G98">
        <v>2</v>
      </c>
      <c r="H98">
        <v>1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U98">
        <f t="shared" si="1"/>
        <v>6</v>
      </c>
      <c r="V98" t="s">
        <v>124</v>
      </c>
      <c r="W98" t="s">
        <v>125</v>
      </c>
      <c r="X98" t="s">
        <v>125</v>
      </c>
      <c r="Y98">
        <v>0</v>
      </c>
      <c r="Z98">
        <v>1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2</v>
      </c>
      <c r="AM98">
        <v>2</v>
      </c>
    </row>
    <row r="99" spans="1:39" x14ac:dyDescent="0.2">
      <c r="A99" t="s">
        <v>83</v>
      </c>
      <c r="B99">
        <v>100</v>
      </c>
      <c r="C99">
        <v>642</v>
      </c>
      <c r="D99">
        <v>1</v>
      </c>
      <c r="E99" s="1">
        <v>95143098</v>
      </c>
      <c r="F99">
        <v>3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f t="shared" si="1"/>
        <v>11</v>
      </c>
      <c r="V99" t="s">
        <v>125</v>
      </c>
      <c r="W99" t="s">
        <v>125</v>
      </c>
      <c r="X99" t="s">
        <v>125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3</v>
      </c>
      <c r="AM99">
        <v>4</v>
      </c>
    </row>
    <row r="100" spans="1:39" x14ac:dyDescent="0.2">
      <c r="A100" t="s">
        <v>84</v>
      </c>
      <c r="B100">
        <v>100</v>
      </c>
      <c r="C100">
        <v>682</v>
      </c>
      <c r="D100">
        <v>1</v>
      </c>
      <c r="E100">
        <v>95143099</v>
      </c>
      <c r="F100">
        <v>3</v>
      </c>
      <c r="G100">
        <v>1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f t="shared" si="1"/>
        <v>4</v>
      </c>
      <c r="V100" t="s">
        <v>125</v>
      </c>
      <c r="W100" t="s">
        <v>125</v>
      </c>
      <c r="X100" t="s">
        <v>125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3</v>
      </c>
      <c r="AM100">
        <v>5</v>
      </c>
    </row>
    <row r="101" spans="1:39" x14ac:dyDescent="0.2">
      <c r="A101" t="s">
        <v>85</v>
      </c>
      <c r="B101">
        <v>100</v>
      </c>
      <c r="C101">
        <v>653</v>
      </c>
      <c r="D101">
        <v>1</v>
      </c>
      <c r="E101">
        <v>95143100</v>
      </c>
      <c r="F101">
        <v>3</v>
      </c>
      <c r="G101">
        <v>2</v>
      </c>
      <c r="H101">
        <v>2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f t="shared" si="1"/>
        <v>7</v>
      </c>
      <c r="V101" t="s">
        <v>125</v>
      </c>
      <c r="W101" t="s">
        <v>124</v>
      </c>
      <c r="X101" t="s">
        <v>125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4</v>
      </c>
      <c r="AM101">
        <v>4</v>
      </c>
    </row>
    <row r="102" spans="1:39" x14ac:dyDescent="0.2">
      <c r="A102" t="s">
        <v>10</v>
      </c>
      <c r="B102">
        <v>100</v>
      </c>
      <c r="C102">
        <v>2495</v>
      </c>
      <c r="D102">
        <v>1</v>
      </c>
      <c r="E102">
        <v>95143101</v>
      </c>
      <c r="F102">
        <v>3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f t="shared" si="1"/>
        <v>3</v>
      </c>
      <c r="V102" t="s">
        <v>125</v>
      </c>
      <c r="W102" t="s">
        <v>124</v>
      </c>
      <c r="X102" t="s">
        <v>125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3</v>
      </c>
      <c r="AM102">
        <v>3</v>
      </c>
    </row>
    <row r="103" spans="1:39" x14ac:dyDescent="0.2">
      <c r="A103" t="s">
        <v>86</v>
      </c>
      <c r="B103">
        <v>100</v>
      </c>
      <c r="C103">
        <v>686</v>
      </c>
      <c r="D103">
        <v>1</v>
      </c>
      <c r="E103" s="1">
        <v>95143102</v>
      </c>
      <c r="F103">
        <v>3</v>
      </c>
      <c r="G103">
        <v>2</v>
      </c>
      <c r="H103">
        <v>2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  <c r="S103">
        <v>1</v>
      </c>
      <c r="T103">
        <v>1</v>
      </c>
      <c r="U103">
        <f t="shared" si="1"/>
        <v>7</v>
      </c>
      <c r="V103" t="s">
        <v>124</v>
      </c>
      <c r="W103" t="s">
        <v>125</v>
      </c>
      <c r="X103" t="s">
        <v>125</v>
      </c>
      <c r="Y103">
        <v>1</v>
      </c>
      <c r="Z103">
        <v>1</v>
      </c>
      <c r="AA103">
        <v>1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2</v>
      </c>
      <c r="AM103">
        <v>4</v>
      </c>
    </row>
    <row r="104" spans="1:39" x14ac:dyDescent="0.2">
      <c r="A104" t="s">
        <v>87</v>
      </c>
      <c r="B104">
        <v>89</v>
      </c>
      <c r="C104">
        <v>968</v>
      </c>
      <c r="D104">
        <v>1</v>
      </c>
      <c r="E104">
        <v>95143103</v>
      </c>
      <c r="F104">
        <v>3</v>
      </c>
      <c r="G104">
        <v>3</v>
      </c>
      <c r="H104">
        <v>2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</v>
      </c>
      <c r="U104">
        <f t="shared" si="1"/>
        <v>5</v>
      </c>
      <c r="V104" t="s">
        <v>124</v>
      </c>
      <c r="W104" t="s">
        <v>125</v>
      </c>
      <c r="X104" t="s">
        <v>125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3</v>
      </c>
      <c r="AM104">
        <v>3</v>
      </c>
    </row>
    <row r="105" spans="1:39" x14ac:dyDescent="0.2">
      <c r="A105" t="s">
        <v>88</v>
      </c>
      <c r="B105">
        <v>89</v>
      </c>
      <c r="C105">
        <v>679</v>
      </c>
      <c r="D105">
        <v>1</v>
      </c>
      <c r="E105">
        <v>95143104</v>
      </c>
      <c r="F105">
        <v>3</v>
      </c>
      <c r="G105">
        <v>1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f t="shared" si="1"/>
        <v>12</v>
      </c>
      <c r="V105" t="s">
        <v>125</v>
      </c>
      <c r="W105" t="s">
        <v>125</v>
      </c>
      <c r="X105" t="s">
        <v>125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3</v>
      </c>
    </row>
    <row r="106" spans="1:39" x14ac:dyDescent="0.2">
      <c r="A106" t="s">
        <v>78</v>
      </c>
      <c r="B106">
        <v>100</v>
      </c>
      <c r="C106">
        <v>980</v>
      </c>
      <c r="D106">
        <v>1</v>
      </c>
      <c r="E106">
        <v>95143105</v>
      </c>
      <c r="F106">
        <v>3</v>
      </c>
      <c r="G106">
        <v>1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f t="shared" si="1"/>
        <v>4</v>
      </c>
      <c r="V106" t="s">
        <v>125</v>
      </c>
      <c r="W106" t="s">
        <v>124</v>
      </c>
      <c r="X106" t="s">
        <v>125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4</v>
      </c>
      <c r="AM106">
        <v>5</v>
      </c>
    </row>
    <row r="107" spans="1:39" x14ac:dyDescent="0.2">
      <c r="A107" t="s">
        <v>63</v>
      </c>
      <c r="B107">
        <v>4</v>
      </c>
      <c r="C107">
        <v>53</v>
      </c>
      <c r="D107">
        <v>0</v>
      </c>
      <c r="E107">
        <v>95143106</v>
      </c>
      <c r="F107">
        <v>3</v>
      </c>
      <c r="G107">
        <v>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124</v>
      </c>
      <c r="W107" t="s">
        <v>124</v>
      </c>
      <c r="X107" t="s">
        <v>125</v>
      </c>
      <c r="Y107">
        <v>-99</v>
      </c>
      <c r="Z107">
        <v>-99</v>
      </c>
      <c r="AA107">
        <v>-99</v>
      </c>
      <c r="AB107">
        <v>-99</v>
      </c>
      <c r="AC107">
        <v>-99</v>
      </c>
      <c r="AD107">
        <v>-99</v>
      </c>
      <c r="AE107">
        <v>-99</v>
      </c>
      <c r="AF107">
        <v>-99</v>
      </c>
      <c r="AG107">
        <v>-99</v>
      </c>
      <c r="AH107">
        <v>-99</v>
      </c>
      <c r="AI107">
        <v>-99</v>
      </c>
      <c r="AJ107">
        <v>-99</v>
      </c>
      <c r="AK107">
        <v>-99</v>
      </c>
      <c r="AL107">
        <v>-99</v>
      </c>
      <c r="AM107">
        <v>-99</v>
      </c>
    </row>
    <row r="108" spans="1:39" x14ac:dyDescent="0.2">
      <c r="A108" t="s">
        <v>36</v>
      </c>
      <c r="B108">
        <v>18</v>
      </c>
      <c r="C108">
        <v>69</v>
      </c>
      <c r="D108">
        <v>0</v>
      </c>
      <c r="E108">
        <v>95143107</v>
      </c>
      <c r="F108">
        <v>3</v>
      </c>
      <c r="G108">
        <v>1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1</v>
      </c>
      <c r="U108">
        <f t="shared" si="1"/>
        <v>5</v>
      </c>
      <c r="V108" t="s">
        <v>125</v>
      </c>
      <c r="W108" t="s">
        <v>125</v>
      </c>
      <c r="X108" t="s">
        <v>125</v>
      </c>
      <c r="Y108">
        <v>-99</v>
      </c>
      <c r="Z108">
        <v>-99</v>
      </c>
      <c r="AA108">
        <v>-99</v>
      </c>
      <c r="AB108">
        <v>-99</v>
      </c>
      <c r="AC108">
        <v>-99</v>
      </c>
      <c r="AD108">
        <v>-99</v>
      </c>
      <c r="AE108">
        <v>-99</v>
      </c>
      <c r="AF108">
        <v>-99</v>
      </c>
      <c r="AG108">
        <v>-99</v>
      </c>
      <c r="AH108">
        <v>-99</v>
      </c>
      <c r="AI108">
        <v>-99</v>
      </c>
      <c r="AJ108">
        <v>-99</v>
      </c>
      <c r="AK108">
        <v>-99</v>
      </c>
      <c r="AL108">
        <v>-99</v>
      </c>
      <c r="AM108">
        <v>-99</v>
      </c>
    </row>
    <row r="109" spans="1:39" x14ac:dyDescent="0.2">
      <c r="A109" t="s">
        <v>64</v>
      </c>
      <c r="B109">
        <v>4</v>
      </c>
      <c r="C109">
        <v>38</v>
      </c>
      <c r="D109">
        <v>0</v>
      </c>
      <c r="E109">
        <v>95143108</v>
      </c>
      <c r="F109">
        <v>3</v>
      </c>
      <c r="G109">
        <v>2</v>
      </c>
      <c r="H109">
        <v>4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f t="shared" si="1"/>
        <v>12</v>
      </c>
      <c r="V109" t="s">
        <v>124</v>
      </c>
      <c r="W109" t="s">
        <v>125</v>
      </c>
      <c r="X109" t="s">
        <v>124</v>
      </c>
      <c r="Y109">
        <v>-99</v>
      </c>
      <c r="Z109">
        <v>-99</v>
      </c>
      <c r="AA109">
        <v>-99</v>
      </c>
      <c r="AB109">
        <v>-99</v>
      </c>
      <c r="AC109">
        <v>-99</v>
      </c>
      <c r="AD109">
        <v>-99</v>
      </c>
      <c r="AE109">
        <v>-99</v>
      </c>
      <c r="AF109">
        <v>-99</v>
      </c>
      <c r="AG109">
        <v>-99</v>
      </c>
      <c r="AH109">
        <v>-99</v>
      </c>
      <c r="AI109">
        <v>-99</v>
      </c>
      <c r="AJ109">
        <v>-99</v>
      </c>
      <c r="AK109">
        <v>-99</v>
      </c>
      <c r="AL109">
        <v>-99</v>
      </c>
      <c r="AM109">
        <v>-99</v>
      </c>
    </row>
    <row r="110" spans="1:39" x14ac:dyDescent="0.2">
      <c r="A110" t="s">
        <v>37</v>
      </c>
      <c r="B110">
        <v>14</v>
      </c>
      <c r="C110">
        <v>87</v>
      </c>
      <c r="D110">
        <v>0</v>
      </c>
      <c r="E110" s="1">
        <v>95143109</v>
      </c>
      <c r="F110">
        <v>3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f t="shared" si="1"/>
        <v>0</v>
      </c>
      <c r="V110" t="s">
        <v>124</v>
      </c>
      <c r="W110" t="s">
        <v>125</v>
      </c>
      <c r="X110" t="s">
        <v>125</v>
      </c>
      <c r="Y110">
        <v>-99</v>
      </c>
      <c r="Z110">
        <v>-99</v>
      </c>
      <c r="AA110">
        <v>-99</v>
      </c>
      <c r="AB110">
        <v>-99</v>
      </c>
      <c r="AC110">
        <v>-99</v>
      </c>
      <c r="AD110">
        <v>-99</v>
      </c>
      <c r="AE110">
        <v>-99</v>
      </c>
      <c r="AF110">
        <v>-99</v>
      </c>
      <c r="AG110">
        <v>-99</v>
      </c>
      <c r="AH110">
        <v>-99</v>
      </c>
      <c r="AI110">
        <v>-99</v>
      </c>
      <c r="AJ110">
        <v>-99</v>
      </c>
      <c r="AK110">
        <v>-99</v>
      </c>
      <c r="AL110">
        <v>-99</v>
      </c>
      <c r="AM110">
        <v>-99</v>
      </c>
    </row>
    <row r="111" spans="1:39" x14ac:dyDescent="0.2">
      <c r="A111" t="s">
        <v>65</v>
      </c>
      <c r="B111">
        <v>14</v>
      </c>
      <c r="C111">
        <v>217</v>
      </c>
      <c r="D111">
        <v>0</v>
      </c>
      <c r="E111">
        <v>95143110</v>
      </c>
      <c r="F111">
        <v>3</v>
      </c>
      <c r="G111">
        <v>2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1</v>
      </c>
      <c r="U111">
        <f t="shared" si="1"/>
        <v>5</v>
      </c>
      <c r="V111" t="s">
        <v>125</v>
      </c>
      <c r="W111" t="s">
        <v>125</v>
      </c>
      <c r="X111" t="s">
        <v>125</v>
      </c>
      <c r="Y111">
        <v>-99</v>
      </c>
      <c r="Z111">
        <v>-99</v>
      </c>
      <c r="AA111">
        <v>-99</v>
      </c>
      <c r="AB111">
        <v>-99</v>
      </c>
      <c r="AC111">
        <v>-99</v>
      </c>
      <c r="AD111">
        <v>-99</v>
      </c>
      <c r="AE111">
        <v>-99</v>
      </c>
      <c r="AF111">
        <v>-99</v>
      </c>
      <c r="AG111">
        <v>-99</v>
      </c>
      <c r="AH111">
        <v>-99</v>
      </c>
      <c r="AI111">
        <v>-99</v>
      </c>
      <c r="AJ111">
        <v>-99</v>
      </c>
      <c r="AK111">
        <v>-99</v>
      </c>
      <c r="AL111">
        <v>-99</v>
      </c>
      <c r="AM111">
        <v>-99</v>
      </c>
    </row>
    <row r="112" spans="1:39" x14ac:dyDescent="0.2">
      <c r="A112" t="s">
        <v>38</v>
      </c>
      <c r="B112">
        <v>14</v>
      </c>
      <c r="C112">
        <v>289</v>
      </c>
      <c r="D112">
        <v>0</v>
      </c>
      <c r="E112">
        <v>95143111</v>
      </c>
      <c r="F112">
        <v>3</v>
      </c>
      <c r="G112">
        <v>1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f t="shared" si="1"/>
        <v>12</v>
      </c>
      <c r="V112" t="s">
        <v>124</v>
      </c>
      <c r="W112" t="s">
        <v>125</v>
      </c>
      <c r="X112" t="s">
        <v>125</v>
      </c>
      <c r="Y112">
        <v>-99</v>
      </c>
      <c r="Z112">
        <v>-99</v>
      </c>
      <c r="AA112">
        <v>-99</v>
      </c>
      <c r="AB112">
        <v>-99</v>
      </c>
      <c r="AC112">
        <v>-99</v>
      </c>
      <c r="AD112">
        <v>-99</v>
      </c>
      <c r="AE112">
        <v>-99</v>
      </c>
      <c r="AF112">
        <v>-99</v>
      </c>
      <c r="AG112">
        <v>-99</v>
      </c>
      <c r="AH112">
        <v>-99</v>
      </c>
      <c r="AI112">
        <v>-99</v>
      </c>
      <c r="AJ112">
        <v>-99</v>
      </c>
      <c r="AK112">
        <v>-99</v>
      </c>
      <c r="AL112">
        <v>-99</v>
      </c>
      <c r="AM112">
        <v>-99</v>
      </c>
    </row>
    <row r="113" spans="1:39" x14ac:dyDescent="0.2">
      <c r="A113" t="s">
        <v>38</v>
      </c>
      <c r="B113">
        <v>14</v>
      </c>
      <c r="C113">
        <v>67</v>
      </c>
      <c r="D113">
        <v>0</v>
      </c>
      <c r="E113">
        <v>95143112</v>
      </c>
      <c r="F113">
        <v>3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f t="shared" si="1"/>
        <v>0</v>
      </c>
      <c r="V113" t="s">
        <v>125</v>
      </c>
      <c r="W113" t="s">
        <v>125</v>
      </c>
      <c r="X113" t="s">
        <v>125</v>
      </c>
      <c r="Y113">
        <v>-99</v>
      </c>
      <c r="Z113">
        <v>-99</v>
      </c>
      <c r="AA113">
        <v>-99</v>
      </c>
      <c r="AB113">
        <v>-99</v>
      </c>
      <c r="AC113">
        <v>-99</v>
      </c>
      <c r="AD113">
        <v>-99</v>
      </c>
      <c r="AE113">
        <v>-99</v>
      </c>
      <c r="AF113">
        <v>-99</v>
      </c>
      <c r="AG113">
        <v>-99</v>
      </c>
      <c r="AH113">
        <v>-99</v>
      </c>
      <c r="AI113">
        <v>-99</v>
      </c>
      <c r="AJ113">
        <v>-99</v>
      </c>
      <c r="AK113">
        <v>-99</v>
      </c>
      <c r="AL113">
        <v>-99</v>
      </c>
      <c r="AM113">
        <v>-99</v>
      </c>
    </row>
    <row r="114" spans="1:39" x14ac:dyDescent="0.2">
      <c r="A114" t="s">
        <v>66</v>
      </c>
      <c r="B114">
        <v>4</v>
      </c>
      <c r="C114">
        <v>47</v>
      </c>
      <c r="D114">
        <v>0</v>
      </c>
      <c r="E114" s="1">
        <v>95143113</v>
      </c>
      <c r="F114">
        <v>3</v>
      </c>
      <c r="G114">
        <v>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 t="s">
        <v>125</v>
      </c>
      <c r="W114" t="s">
        <v>125</v>
      </c>
      <c r="X114" t="s">
        <v>125</v>
      </c>
      <c r="Y114">
        <v>-99</v>
      </c>
      <c r="Z114">
        <v>-99</v>
      </c>
      <c r="AA114">
        <v>-99</v>
      </c>
      <c r="AB114">
        <v>-99</v>
      </c>
      <c r="AC114">
        <v>-99</v>
      </c>
      <c r="AD114">
        <v>-99</v>
      </c>
      <c r="AE114">
        <v>-99</v>
      </c>
      <c r="AF114">
        <v>-99</v>
      </c>
      <c r="AG114">
        <v>-99</v>
      </c>
      <c r="AH114">
        <v>-99</v>
      </c>
      <c r="AI114">
        <v>-99</v>
      </c>
      <c r="AJ114">
        <v>-99</v>
      </c>
      <c r="AK114">
        <v>-99</v>
      </c>
      <c r="AL114">
        <v>-99</v>
      </c>
      <c r="AM114">
        <v>-99</v>
      </c>
    </row>
    <row r="115" spans="1:39" x14ac:dyDescent="0.2">
      <c r="A115" t="s">
        <v>67</v>
      </c>
      <c r="B115">
        <v>14</v>
      </c>
      <c r="C115">
        <v>568</v>
      </c>
      <c r="D115">
        <v>0</v>
      </c>
      <c r="E115">
        <v>95143114</v>
      </c>
      <c r="F115">
        <v>3</v>
      </c>
      <c r="G115">
        <v>1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f t="shared" si="1"/>
        <v>4</v>
      </c>
      <c r="V115" t="s">
        <v>125</v>
      </c>
      <c r="W115" t="s">
        <v>124</v>
      </c>
      <c r="X115" t="s">
        <v>125</v>
      </c>
      <c r="Y115">
        <v>-99</v>
      </c>
      <c r="Z115">
        <v>-99</v>
      </c>
      <c r="AA115">
        <v>-99</v>
      </c>
      <c r="AB115">
        <v>-99</v>
      </c>
      <c r="AC115">
        <v>-99</v>
      </c>
      <c r="AD115">
        <v>-99</v>
      </c>
      <c r="AE115">
        <v>-99</v>
      </c>
      <c r="AF115">
        <v>-99</v>
      </c>
      <c r="AG115">
        <v>-99</v>
      </c>
      <c r="AH115">
        <v>-99</v>
      </c>
      <c r="AI115">
        <v>-99</v>
      </c>
      <c r="AJ115">
        <v>-99</v>
      </c>
      <c r="AK115">
        <v>-99</v>
      </c>
      <c r="AL115">
        <v>-99</v>
      </c>
      <c r="AM115">
        <v>-99</v>
      </c>
    </row>
    <row r="116" spans="1:39" x14ac:dyDescent="0.2">
      <c r="A116" t="s">
        <v>68</v>
      </c>
      <c r="B116">
        <v>14</v>
      </c>
      <c r="C116">
        <v>36</v>
      </c>
      <c r="D116">
        <v>0</v>
      </c>
      <c r="E116">
        <v>95143115</v>
      </c>
      <c r="F116">
        <v>3</v>
      </c>
      <c r="G116">
        <v>2</v>
      </c>
      <c r="H116">
        <v>2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f t="shared" si="1"/>
        <v>7</v>
      </c>
      <c r="V116" t="s">
        <v>125</v>
      </c>
      <c r="W116" t="s">
        <v>124</v>
      </c>
      <c r="X116" t="s">
        <v>125</v>
      </c>
      <c r="Y116">
        <v>-99</v>
      </c>
      <c r="Z116">
        <v>-99</v>
      </c>
      <c r="AA116">
        <v>-99</v>
      </c>
      <c r="AB116">
        <v>-99</v>
      </c>
      <c r="AC116">
        <v>-99</v>
      </c>
      <c r="AD116">
        <v>-99</v>
      </c>
      <c r="AE116">
        <v>-99</v>
      </c>
      <c r="AF116">
        <v>-99</v>
      </c>
      <c r="AG116">
        <v>-99</v>
      </c>
      <c r="AH116">
        <v>-99</v>
      </c>
      <c r="AI116">
        <v>-99</v>
      </c>
      <c r="AJ116">
        <v>-99</v>
      </c>
      <c r="AK116">
        <v>-99</v>
      </c>
      <c r="AL116">
        <v>-99</v>
      </c>
      <c r="AM116">
        <v>-99</v>
      </c>
    </row>
    <row r="117" spans="1:39" x14ac:dyDescent="0.2">
      <c r="A117" t="s">
        <v>69</v>
      </c>
      <c r="B117">
        <v>18</v>
      </c>
      <c r="C117">
        <v>39</v>
      </c>
      <c r="D117">
        <v>0</v>
      </c>
      <c r="E117">
        <v>95143116</v>
      </c>
      <c r="F117">
        <v>3</v>
      </c>
      <c r="G117">
        <v>2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f t="shared" si="1"/>
        <v>3</v>
      </c>
      <c r="V117" t="s">
        <v>124</v>
      </c>
      <c r="W117" t="s">
        <v>125</v>
      </c>
      <c r="X117" t="s">
        <v>125</v>
      </c>
      <c r="Y117">
        <v>-99</v>
      </c>
      <c r="Z117">
        <v>-99</v>
      </c>
      <c r="AA117">
        <v>-99</v>
      </c>
      <c r="AB117">
        <v>-99</v>
      </c>
      <c r="AC117">
        <v>-99</v>
      </c>
      <c r="AD117">
        <v>-99</v>
      </c>
      <c r="AE117">
        <v>-99</v>
      </c>
      <c r="AF117">
        <v>-99</v>
      </c>
      <c r="AG117">
        <v>-99</v>
      </c>
      <c r="AH117">
        <v>-99</v>
      </c>
      <c r="AI117">
        <v>-99</v>
      </c>
      <c r="AJ117">
        <v>-99</v>
      </c>
      <c r="AK117">
        <v>-99</v>
      </c>
      <c r="AL117">
        <v>-99</v>
      </c>
      <c r="AM117">
        <v>-99</v>
      </c>
    </row>
    <row r="118" spans="1:39" x14ac:dyDescent="0.2">
      <c r="A118" t="s">
        <v>70</v>
      </c>
      <c r="B118">
        <v>14</v>
      </c>
      <c r="C118">
        <v>41</v>
      </c>
      <c r="D118">
        <v>0</v>
      </c>
      <c r="E118">
        <v>95143117</v>
      </c>
      <c r="F118">
        <v>3</v>
      </c>
      <c r="G118">
        <v>1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f t="shared" si="1"/>
        <v>0</v>
      </c>
      <c r="V118" t="s">
        <v>124</v>
      </c>
      <c r="W118" t="s">
        <v>125</v>
      </c>
      <c r="X118" t="s">
        <v>125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0</v>
      </c>
      <c r="AL118">
        <v>-99</v>
      </c>
      <c r="AM118">
        <v>-99</v>
      </c>
    </row>
    <row r="119" spans="1:39" x14ac:dyDescent="0.2">
      <c r="A119" t="s">
        <v>71</v>
      </c>
      <c r="B119">
        <v>14</v>
      </c>
      <c r="C119">
        <v>192</v>
      </c>
      <c r="D119">
        <v>0</v>
      </c>
      <c r="E119">
        <v>95143118</v>
      </c>
      <c r="F119">
        <v>3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f t="shared" si="1"/>
        <v>12</v>
      </c>
      <c r="V119" t="s">
        <v>125</v>
      </c>
      <c r="W119" t="s">
        <v>125</v>
      </c>
      <c r="X119" t="s">
        <v>125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0</v>
      </c>
      <c r="AL119">
        <v>-99</v>
      </c>
      <c r="AM119">
        <v>-99</v>
      </c>
    </row>
    <row r="120" spans="1:39" x14ac:dyDescent="0.2">
      <c r="A120" t="s">
        <v>72</v>
      </c>
      <c r="B120">
        <v>32</v>
      </c>
      <c r="C120">
        <v>40</v>
      </c>
      <c r="D120">
        <v>0</v>
      </c>
      <c r="E120">
        <v>95143119</v>
      </c>
      <c r="F120">
        <v>3</v>
      </c>
      <c r="G120">
        <v>1</v>
      </c>
      <c r="H120">
        <v>2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f t="shared" si="1"/>
        <v>4</v>
      </c>
      <c r="V120" t="s">
        <v>125</v>
      </c>
      <c r="W120" t="s">
        <v>124</v>
      </c>
      <c r="X120" t="s">
        <v>125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1</v>
      </c>
      <c r="AI120">
        <v>1</v>
      </c>
      <c r="AJ120">
        <v>1</v>
      </c>
      <c r="AK120">
        <v>0</v>
      </c>
      <c r="AL120">
        <v>-99</v>
      </c>
      <c r="AM120">
        <v>-99</v>
      </c>
    </row>
    <row r="121" spans="1:39" x14ac:dyDescent="0.2">
      <c r="A121" t="s">
        <v>73</v>
      </c>
      <c r="B121">
        <v>14</v>
      </c>
      <c r="C121">
        <v>371</v>
      </c>
      <c r="D121">
        <v>0</v>
      </c>
      <c r="E121" s="1">
        <v>95143120</v>
      </c>
      <c r="F121">
        <v>3</v>
      </c>
      <c r="G121">
        <v>2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 t="s">
        <v>125</v>
      </c>
      <c r="W121" t="s">
        <v>125</v>
      </c>
      <c r="X121" t="s">
        <v>125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-99</v>
      </c>
      <c r="AM121">
        <v>-99</v>
      </c>
    </row>
    <row r="122" spans="1:39" x14ac:dyDescent="0.2">
      <c r="A122" t="s">
        <v>74</v>
      </c>
      <c r="B122">
        <v>14</v>
      </c>
      <c r="C122">
        <v>147</v>
      </c>
      <c r="D122">
        <v>0</v>
      </c>
      <c r="E122">
        <v>95143121</v>
      </c>
      <c r="F122">
        <v>3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f t="shared" si="1"/>
        <v>0</v>
      </c>
      <c r="V122" t="s">
        <v>125</v>
      </c>
      <c r="W122" t="s">
        <v>125</v>
      </c>
      <c r="X122" t="s">
        <v>124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-99</v>
      </c>
      <c r="AM122">
        <v>-99</v>
      </c>
    </row>
    <row r="123" spans="1:39" x14ac:dyDescent="0.2">
      <c r="A123" t="s">
        <v>75</v>
      </c>
      <c r="B123">
        <v>14</v>
      </c>
      <c r="C123">
        <v>53547</v>
      </c>
      <c r="D123">
        <v>0</v>
      </c>
      <c r="E123">
        <v>95143122</v>
      </c>
      <c r="F123">
        <v>3</v>
      </c>
      <c r="G123">
        <v>1</v>
      </c>
      <c r="H123">
        <v>1</v>
      </c>
      <c r="I123">
        <v>-99</v>
      </c>
      <c r="J123">
        <v>-99</v>
      </c>
      <c r="K123">
        <v>-99</v>
      </c>
      <c r="L123">
        <v>-99</v>
      </c>
      <c r="M123">
        <v>-99</v>
      </c>
      <c r="N123">
        <v>-99</v>
      </c>
      <c r="O123">
        <v>-99</v>
      </c>
      <c r="P123">
        <v>-99</v>
      </c>
      <c r="Q123">
        <v>-99</v>
      </c>
      <c r="R123">
        <v>-99</v>
      </c>
      <c r="S123">
        <v>-99</v>
      </c>
      <c r="T123">
        <v>-99</v>
      </c>
      <c r="U123">
        <v>-99</v>
      </c>
      <c r="V123" t="s">
        <v>125</v>
      </c>
      <c r="W123" t="s">
        <v>124</v>
      </c>
      <c r="X123" t="s">
        <v>125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-99</v>
      </c>
      <c r="AM123">
        <v>-99</v>
      </c>
    </row>
    <row r="124" spans="1:39" x14ac:dyDescent="0.2">
      <c r="A124" t="s">
        <v>76</v>
      </c>
      <c r="B124">
        <v>14</v>
      </c>
      <c r="C124">
        <v>45</v>
      </c>
      <c r="D124">
        <v>0</v>
      </c>
      <c r="E124">
        <v>95143123</v>
      </c>
      <c r="F124">
        <v>3</v>
      </c>
      <c r="G124">
        <v>1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f t="shared" si="1"/>
        <v>0</v>
      </c>
      <c r="V124" t="s">
        <v>124</v>
      </c>
      <c r="W124" t="s">
        <v>124</v>
      </c>
      <c r="X124" t="s">
        <v>124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1</v>
      </c>
      <c r="AK124">
        <v>0</v>
      </c>
      <c r="AL124">
        <v>-99</v>
      </c>
      <c r="AM124">
        <v>-99</v>
      </c>
    </row>
    <row r="125" spans="1:39" x14ac:dyDescent="0.2">
      <c r="A125" t="s">
        <v>77</v>
      </c>
      <c r="B125">
        <v>14</v>
      </c>
      <c r="C125">
        <v>109</v>
      </c>
      <c r="D125">
        <v>0</v>
      </c>
      <c r="E125" s="1">
        <v>95143124</v>
      </c>
      <c r="F125">
        <v>3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f t="shared" si="1"/>
        <v>4</v>
      </c>
      <c r="V125" t="s">
        <v>125</v>
      </c>
      <c r="W125" t="s">
        <v>125</v>
      </c>
      <c r="X125" t="s">
        <v>125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-99</v>
      </c>
      <c r="AM125">
        <v>-99</v>
      </c>
    </row>
    <row r="126" spans="1:39" x14ac:dyDescent="0.2">
      <c r="A126" t="s">
        <v>78</v>
      </c>
      <c r="B126">
        <v>14</v>
      </c>
      <c r="C126">
        <v>29</v>
      </c>
      <c r="D126">
        <v>0</v>
      </c>
      <c r="E126">
        <v>95143125</v>
      </c>
      <c r="F126">
        <v>3</v>
      </c>
      <c r="G126">
        <v>3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</v>
      </c>
      <c r="U126">
        <f t="shared" si="1"/>
        <v>7</v>
      </c>
      <c r="V126" t="s">
        <v>125</v>
      </c>
      <c r="W126" t="s">
        <v>125</v>
      </c>
      <c r="X126" t="s">
        <v>125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-99</v>
      </c>
      <c r="AM126">
        <v>-99</v>
      </c>
    </row>
    <row r="127" spans="1:39" x14ac:dyDescent="0.2">
      <c r="A127" t="s">
        <v>79</v>
      </c>
      <c r="B127">
        <v>14</v>
      </c>
      <c r="C127">
        <v>26</v>
      </c>
      <c r="D127">
        <v>0</v>
      </c>
      <c r="E127">
        <v>95143126</v>
      </c>
      <c r="F127">
        <v>3</v>
      </c>
      <c r="G127">
        <v>2</v>
      </c>
      <c r="H127">
        <v>2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f t="shared" si="1"/>
        <v>3</v>
      </c>
      <c r="V127" t="s">
        <v>125</v>
      </c>
      <c r="W127" t="s">
        <v>124</v>
      </c>
      <c r="X127" t="s">
        <v>125</v>
      </c>
      <c r="Y127">
        <v>-99</v>
      </c>
      <c r="Z127">
        <v>-99</v>
      </c>
      <c r="AA127">
        <v>-99</v>
      </c>
      <c r="AB127">
        <v>-99</v>
      </c>
      <c r="AC127">
        <v>-99</v>
      </c>
      <c r="AD127">
        <v>-99</v>
      </c>
      <c r="AE127">
        <v>-99</v>
      </c>
      <c r="AF127">
        <v>-99</v>
      </c>
      <c r="AG127">
        <v>-99</v>
      </c>
      <c r="AH127">
        <v>-99</v>
      </c>
      <c r="AI127">
        <v>-99</v>
      </c>
      <c r="AJ127">
        <v>-99</v>
      </c>
      <c r="AK127">
        <v>-99</v>
      </c>
      <c r="AL127">
        <v>-99</v>
      </c>
      <c r="AM127">
        <v>-99</v>
      </c>
    </row>
    <row r="128" spans="1:39" x14ac:dyDescent="0.2">
      <c r="A128" t="s">
        <v>80</v>
      </c>
      <c r="B128">
        <v>14</v>
      </c>
      <c r="C128">
        <v>64</v>
      </c>
      <c r="D128">
        <v>0</v>
      </c>
      <c r="E128">
        <v>95143127</v>
      </c>
      <c r="F128">
        <v>3</v>
      </c>
      <c r="G128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</v>
      </c>
      <c r="V128" t="s">
        <v>125</v>
      </c>
      <c r="W128" t="s">
        <v>125</v>
      </c>
      <c r="X128" t="s">
        <v>124</v>
      </c>
      <c r="Y128">
        <v>-99</v>
      </c>
      <c r="Z128">
        <v>-99</v>
      </c>
      <c r="AA128">
        <v>-99</v>
      </c>
      <c r="AB128">
        <v>-99</v>
      </c>
      <c r="AC128">
        <v>-99</v>
      </c>
      <c r="AD128">
        <v>-99</v>
      </c>
      <c r="AE128">
        <v>-99</v>
      </c>
      <c r="AF128">
        <v>-99</v>
      </c>
      <c r="AG128">
        <v>-99</v>
      </c>
      <c r="AH128">
        <v>-99</v>
      </c>
      <c r="AI128">
        <v>-99</v>
      </c>
      <c r="AJ128">
        <v>-99</v>
      </c>
      <c r="AK128">
        <v>-99</v>
      </c>
      <c r="AL128">
        <v>-99</v>
      </c>
      <c r="AM128">
        <v>-99</v>
      </c>
    </row>
    <row r="129" spans="1:39" x14ac:dyDescent="0.2">
      <c r="A129" t="s">
        <v>81</v>
      </c>
      <c r="B129">
        <v>14</v>
      </c>
      <c r="C129">
        <v>43</v>
      </c>
      <c r="D129">
        <v>0</v>
      </c>
      <c r="E129">
        <v>95143128</v>
      </c>
      <c r="F129">
        <v>3</v>
      </c>
      <c r="G129">
        <v>2</v>
      </c>
      <c r="H129">
        <v>2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f t="shared" si="1"/>
        <v>12</v>
      </c>
      <c r="V129" t="s">
        <v>125</v>
      </c>
      <c r="W129" t="s">
        <v>125</v>
      </c>
      <c r="X129" t="s">
        <v>125</v>
      </c>
      <c r="Y129">
        <v>-99</v>
      </c>
      <c r="Z129">
        <v>-99</v>
      </c>
      <c r="AA129">
        <v>-99</v>
      </c>
      <c r="AB129">
        <v>-99</v>
      </c>
      <c r="AC129">
        <v>-99</v>
      </c>
      <c r="AD129">
        <v>-99</v>
      </c>
      <c r="AE129">
        <v>-99</v>
      </c>
      <c r="AF129">
        <v>-99</v>
      </c>
      <c r="AG129">
        <v>-99</v>
      </c>
      <c r="AH129">
        <v>-99</v>
      </c>
      <c r="AI129">
        <v>-99</v>
      </c>
      <c r="AJ129">
        <v>-99</v>
      </c>
      <c r="AK129">
        <v>-99</v>
      </c>
      <c r="AL129">
        <v>-99</v>
      </c>
      <c r="AM129">
        <v>-99</v>
      </c>
    </row>
    <row r="130" spans="1:39" x14ac:dyDescent="0.2">
      <c r="A130" t="s">
        <v>82</v>
      </c>
      <c r="B130">
        <v>18</v>
      </c>
      <c r="C130">
        <v>45</v>
      </c>
      <c r="D130">
        <v>0</v>
      </c>
      <c r="E130">
        <v>95143129</v>
      </c>
      <c r="F130">
        <v>3</v>
      </c>
      <c r="G130">
        <v>1</v>
      </c>
      <c r="H130">
        <v>2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</v>
      </c>
      <c r="U130">
        <f t="shared" si="1"/>
        <v>4</v>
      </c>
      <c r="V130" t="s">
        <v>125</v>
      </c>
      <c r="W130" t="s">
        <v>125</v>
      </c>
      <c r="X130" t="s">
        <v>125</v>
      </c>
      <c r="Y130">
        <v>-99</v>
      </c>
      <c r="Z130">
        <v>-99</v>
      </c>
      <c r="AA130">
        <v>-99</v>
      </c>
      <c r="AB130">
        <v>-99</v>
      </c>
      <c r="AC130">
        <v>-99</v>
      </c>
      <c r="AD130">
        <v>-99</v>
      </c>
      <c r="AE130">
        <v>-99</v>
      </c>
      <c r="AF130">
        <v>-99</v>
      </c>
      <c r="AG130">
        <v>-99</v>
      </c>
      <c r="AH130">
        <v>-99</v>
      </c>
      <c r="AI130">
        <v>-99</v>
      </c>
      <c r="AJ130">
        <v>-99</v>
      </c>
      <c r="AK130">
        <v>-99</v>
      </c>
      <c r="AL130">
        <v>-99</v>
      </c>
      <c r="AM130">
        <v>-99</v>
      </c>
    </row>
    <row r="131" spans="1:39" x14ac:dyDescent="0.2">
      <c r="A131" t="s">
        <v>76</v>
      </c>
      <c r="B131">
        <v>39</v>
      </c>
      <c r="C131">
        <v>23</v>
      </c>
      <c r="D131">
        <v>0</v>
      </c>
      <c r="E131">
        <v>95143130</v>
      </c>
      <c r="F131">
        <v>3</v>
      </c>
      <c r="G131">
        <v>1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f t="shared" si="1"/>
        <v>4</v>
      </c>
      <c r="V131" t="s">
        <v>125</v>
      </c>
      <c r="W131" t="s">
        <v>125</v>
      </c>
      <c r="X131" t="s">
        <v>125</v>
      </c>
      <c r="Y131">
        <v>-99</v>
      </c>
      <c r="Z131">
        <v>-99</v>
      </c>
      <c r="AA131">
        <v>-99</v>
      </c>
      <c r="AB131">
        <v>-99</v>
      </c>
      <c r="AC131">
        <v>-99</v>
      </c>
      <c r="AD131">
        <v>-99</v>
      </c>
      <c r="AE131">
        <v>-99</v>
      </c>
      <c r="AF131">
        <v>-99</v>
      </c>
      <c r="AG131">
        <v>-99</v>
      </c>
      <c r="AH131">
        <v>-99</v>
      </c>
      <c r="AI131">
        <v>-99</v>
      </c>
      <c r="AJ131">
        <v>-99</v>
      </c>
      <c r="AK131">
        <v>-99</v>
      </c>
      <c r="AL131">
        <v>-99</v>
      </c>
      <c r="AM131">
        <v>-99</v>
      </c>
    </row>
    <row r="132" spans="1:39" x14ac:dyDescent="0.2">
      <c r="A132" t="s">
        <v>77</v>
      </c>
      <c r="B132">
        <v>25</v>
      </c>
      <c r="C132">
        <v>76</v>
      </c>
      <c r="D132">
        <v>0</v>
      </c>
      <c r="E132" s="1">
        <v>95143131</v>
      </c>
      <c r="F132">
        <v>3</v>
      </c>
      <c r="G132">
        <v>3</v>
      </c>
      <c r="H132">
        <v>2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1</v>
      </c>
      <c r="U132">
        <f t="shared" ref="U132:U146" si="2">SUM(I132:T132)</f>
        <v>7</v>
      </c>
      <c r="V132" t="s">
        <v>125</v>
      </c>
      <c r="W132" t="s">
        <v>125</v>
      </c>
      <c r="X132" t="s">
        <v>124</v>
      </c>
      <c r="Y132">
        <v>-99</v>
      </c>
      <c r="Z132">
        <v>-99</v>
      </c>
      <c r="AA132">
        <v>-99</v>
      </c>
      <c r="AB132">
        <v>-99</v>
      </c>
      <c r="AC132">
        <v>-99</v>
      </c>
      <c r="AD132">
        <v>-99</v>
      </c>
      <c r="AE132">
        <v>-99</v>
      </c>
      <c r="AF132">
        <v>-99</v>
      </c>
      <c r="AG132">
        <v>-99</v>
      </c>
      <c r="AH132">
        <v>-99</v>
      </c>
      <c r="AI132">
        <v>-99</v>
      </c>
      <c r="AJ132">
        <v>-99</v>
      </c>
      <c r="AK132">
        <v>-99</v>
      </c>
      <c r="AL132">
        <v>-99</v>
      </c>
      <c r="AM132">
        <v>-99</v>
      </c>
    </row>
    <row r="133" spans="1:39" x14ac:dyDescent="0.2">
      <c r="A133" t="s">
        <v>78</v>
      </c>
      <c r="B133">
        <v>8</v>
      </c>
      <c r="C133">
        <v>63</v>
      </c>
      <c r="D133">
        <v>0</v>
      </c>
      <c r="E133">
        <v>95143132</v>
      </c>
      <c r="F133">
        <v>3</v>
      </c>
      <c r="G133">
        <v>1</v>
      </c>
      <c r="H133">
        <v>4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f t="shared" si="2"/>
        <v>3</v>
      </c>
      <c r="V133" t="s">
        <v>124</v>
      </c>
      <c r="W133" t="s">
        <v>125</v>
      </c>
      <c r="X133" t="s">
        <v>125</v>
      </c>
      <c r="Y133">
        <v>-99</v>
      </c>
      <c r="Z133">
        <v>-99</v>
      </c>
      <c r="AA133">
        <v>-99</v>
      </c>
      <c r="AB133">
        <v>-99</v>
      </c>
      <c r="AC133">
        <v>-99</v>
      </c>
      <c r="AD133">
        <v>-99</v>
      </c>
      <c r="AE133">
        <v>-99</v>
      </c>
      <c r="AF133">
        <v>-99</v>
      </c>
      <c r="AG133">
        <v>-99</v>
      </c>
      <c r="AH133">
        <v>-99</v>
      </c>
      <c r="AI133">
        <v>-99</v>
      </c>
      <c r="AJ133">
        <v>-99</v>
      </c>
      <c r="AK133">
        <v>-99</v>
      </c>
      <c r="AL133">
        <v>-99</v>
      </c>
      <c r="AM133">
        <v>-99</v>
      </c>
    </row>
    <row r="134" spans="1:39" x14ac:dyDescent="0.2">
      <c r="A134" t="s">
        <v>79</v>
      </c>
      <c r="B134">
        <v>14</v>
      </c>
      <c r="C134">
        <v>126</v>
      </c>
      <c r="D134">
        <v>0</v>
      </c>
      <c r="E134">
        <v>95143133</v>
      </c>
      <c r="F134">
        <v>3</v>
      </c>
      <c r="G134">
        <v>1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f t="shared" si="2"/>
        <v>0</v>
      </c>
      <c r="V134" t="s">
        <v>125</v>
      </c>
      <c r="W134" t="s">
        <v>124</v>
      </c>
      <c r="X134" t="s">
        <v>125</v>
      </c>
      <c r="Y134">
        <v>-99</v>
      </c>
      <c r="Z134">
        <v>-99</v>
      </c>
      <c r="AA134">
        <v>-99</v>
      </c>
      <c r="AB134">
        <v>-99</v>
      </c>
      <c r="AC134">
        <v>-99</v>
      </c>
      <c r="AD134">
        <v>-99</v>
      </c>
      <c r="AE134">
        <v>-99</v>
      </c>
      <c r="AF134">
        <v>-99</v>
      </c>
      <c r="AG134">
        <v>-99</v>
      </c>
      <c r="AH134">
        <v>-99</v>
      </c>
      <c r="AI134">
        <v>-99</v>
      </c>
      <c r="AJ134">
        <v>-99</v>
      </c>
      <c r="AK134">
        <v>-99</v>
      </c>
      <c r="AL134">
        <v>-99</v>
      </c>
      <c r="AM134">
        <v>-99</v>
      </c>
    </row>
    <row r="135" spans="1:39" x14ac:dyDescent="0.2">
      <c r="A135" t="s">
        <v>80</v>
      </c>
      <c r="B135">
        <v>18</v>
      </c>
      <c r="C135">
        <v>34</v>
      </c>
      <c r="D135">
        <v>0</v>
      </c>
      <c r="E135">
        <v>95143134</v>
      </c>
      <c r="F135">
        <v>3</v>
      </c>
      <c r="G135">
        <v>2</v>
      </c>
      <c r="H135">
        <v>2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4</v>
      </c>
      <c r="V135" t="s">
        <v>125</v>
      </c>
      <c r="W135" t="s">
        <v>124</v>
      </c>
      <c r="X135" t="s">
        <v>125</v>
      </c>
      <c r="Y135">
        <v>-99</v>
      </c>
      <c r="Z135">
        <v>-99</v>
      </c>
      <c r="AA135">
        <v>-99</v>
      </c>
      <c r="AB135">
        <v>-99</v>
      </c>
      <c r="AC135">
        <v>-99</v>
      </c>
      <c r="AD135">
        <v>-99</v>
      </c>
      <c r="AE135">
        <v>-99</v>
      </c>
      <c r="AF135">
        <v>-99</v>
      </c>
      <c r="AG135">
        <v>-99</v>
      </c>
      <c r="AH135">
        <v>-99</v>
      </c>
      <c r="AI135">
        <v>-99</v>
      </c>
      <c r="AJ135">
        <v>-99</v>
      </c>
      <c r="AK135">
        <v>-99</v>
      </c>
      <c r="AL135">
        <v>-99</v>
      </c>
      <c r="AM135">
        <v>-99</v>
      </c>
    </row>
    <row r="136" spans="1:39" x14ac:dyDescent="0.2">
      <c r="A136" t="s">
        <v>81</v>
      </c>
      <c r="B136">
        <v>14</v>
      </c>
      <c r="C136">
        <v>105</v>
      </c>
      <c r="D136">
        <v>0</v>
      </c>
      <c r="E136" s="1">
        <v>95143135</v>
      </c>
      <c r="F136">
        <v>3</v>
      </c>
      <c r="G136">
        <v>1</v>
      </c>
      <c r="H136">
        <v>2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f t="shared" si="2"/>
        <v>4</v>
      </c>
      <c r="V136" t="s">
        <v>124</v>
      </c>
      <c r="W136" t="s">
        <v>125</v>
      </c>
      <c r="X136" t="s">
        <v>125</v>
      </c>
      <c r="Y136">
        <v>-99</v>
      </c>
      <c r="Z136">
        <v>-99</v>
      </c>
      <c r="AA136">
        <v>-99</v>
      </c>
      <c r="AB136">
        <v>-99</v>
      </c>
      <c r="AC136">
        <v>-99</v>
      </c>
      <c r="AD136">
        <v>-99</v>
      </c>
      <c r="AE136">
        <v>-99</v>
      </c>
      <c r="AF136">
        <v>-99</v>
      </c>
      <c r="AG136">
        <v>-99</v>
      </c>
      <c r="AH136">
        <v>-99</v>
      </c>
      <c r="AI136">
        <v>-99</v>
      </c>
      <c r="AJ136">
        <v>-99</v>
      </c>
      <c r="AK136">
        <v>-99</v>
      </c>
      <c r="AL136">
        <v>-99</v>
      </c>
      <c r="AM136">
        <v>-99</v>
      </c>
    </row>
    <row r="137" spans="1:39" x14ac:dyDescent="0.2">
      <c r="A137" t="s">
        <v>82</v>
      </c>
      <c r="B137">
        <v>14</v>
      </c>
      <c r="C137">
        <v>47</v>
      </c>
      <c r="D137">
        <v>0</v>
      </c>
      <c r="E137">
        <v>95143136</v>
      </c>
      <c r="F137">
        <v>3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0</v>
      </c>
      <c r="U137">
        <f t="shared" si="2"/>
        <v>4</v>
      </c>
      <c r="V137" t="s">
        <v>125</v>
      </c>
      <c r="W137" t="s">
        <v>125</v>
      </c>
      <c r="X137" t="s">
        <v>124</v>
      </c>
      <c r="Y137">
        <v>-99</v>
      </c>
      <c r="Z137">
        <v>-99</v>
      </c>
      <c r="AA137">
        <v>-99</v>
      </c>
      <c r="AB137">
        <v>-99</v>
      </c>
      <c r="AC137">
        <v>-99</v>
      </c>
      <c r="AD137">
        <v>-99</v>
      </c>
      <c r="AE137">
        <v>-99</v>
      </c>
      <c r="AF137">
        <v>-99</v>
      </c>
      <c r="AG137">
        <v>-99</v>
      </c>
      <c r="AH137">
        <v>-99</v>
      </c>
      <c r="AI137">
        <v>-99</v>
      </c>
      <c r="AJ137">
        <v>-99</v>
      </c>
      <c r="AK137">
        <v>-99</v>
      </c>
      <c r="AL137">
        <v>-99</v>
      </c>
      <c r="AM137">
        <v>-99</v>
      </c>
    </row>
    <row r="138" spans="1:39" x14ac:dyDescent="0.2">
      <c r="A138" t="s">
        <v>83</v>
      </c>
      <c r="B138">
        <v>14</v>
      </c>
      <c r="C138">
        <v>186</v>
      </c>
      <c r="D138">
        <v>0</v>
      </c>
      <c r="E138">
        <v>95143137</v>
      </c>
      <c r="F138">
        <v>3</v>
      </c>
      <c r="G138">
        <v>2</v>
      </c>
      <c r="H138">
        <v>2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1</v>
      </c>
      <c r="U138">
        <f t="shared" si="2"/>
        <v>7</v>
      </c>
      <c r="V138" t="s">
        <v>125</v>
      </c>
      <c r="W138" t="s">
        <v>125</v>
      </c>
      <c r="X138" t="s">
        <v>125</v>
      </c>
      <c r="Y138">
        <v>-99</v>
      </c>
      <c r="Z138">
        <v>-99</v>
      </c>
      <c r="AA138">
        <v>-99</v>
      </c>
      <c r="AB138">
        <v>-99</v>
      </c>
      <c r="AC138">
        <v>-99</v>
      </c>
      <c r="AD138">
        <v>-99</v>
      </c>
      <c r="AE138">
        <v>-99</v>
      </c>
      <c r="AF138">
        <v>-99</v>
      </c>
      <c r="AG138">
        <v>-99</v>
      </c>
      <c r="AH138">
        <v>-99</v>
      </c>
      <c r="AI138">
        <v>-99</v>
      </c>
      <c r="AJ138">
        <v>-99</v>
      </c>
      <c r="AK138">
        <v>-99</v>
      </c>
      <c r="AL138">
        <v>-99</v>
      </c>
      <c r="AM138">
        <v>-99</v>
      </c>
    </row>
    <row r="139" spans="1:39" x14ac:dyDescent="0.2">
      <c r="A139" t="s">
        <v>84</v>
      </c>
      <c r="B139">
        <v>14</v>
      </c>
      <c r="C139">
        <v>130</v>
      </c>
      <c r="D139">
        <v>0</v>
      </c>
      <c r="E139">
        <v>95143138</v>
      </c>
      <c r="F139">
        <v>3</v>
      </c>
      <c r="G139">
        <v>1</v>
      </c>
      <c r="H139">
        <v>2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f t="shared" si="2"/>
        <v>3</v>
      </c>
      <c r="V139" t="s">
        <v>125</v>
      </c>
      <c r="W139" t="s">
        <v>125</v>
      </c>
      <c r="X139" t="s">
        <v>125</v>
      </c>
      <c r="Y139">
        <v>-99</v>
      </c>
      <c r="Z139">
        <v>-99</v>
      </c>
      <c r="AA139">
        <v>-99</v>
      </c>
      <c r="AB139">
        <v>-99</v>
      </c>
      <c r="AC139">
        <v>-99</v>
      </c>
      <c r="AD139">
        <v>-99</v>
      </c>
      <c r="AE139">
        <v>-99</v>
      </c>
      <c r="AF139">
        <v>-99</v>
      </c>
      <c r="AG139">
        <v>-99</v>
      </c>
      <c r="AH139">
        <v>-99</v>
      </c>
      <c r="AI139">
        <v>-99</v>
      </c>
      <c r="AJ139">
        <v>-99</v>
      </c>
      <c r="AK139">
        <v>-99</v>
      </c>
      <c r="AL139">
        <v>-99</v>
      </c>
      <c r="AM139">
        <v>-99</v>
      </c>
    </row>
    <row r="140" spans="1:39" x14ac:dyDescent="0.2">
      <c r="A140" t="s">
        <v>85</v>
      </c>
      <c r="B140">
        <v>18</v>
      </c>
      <c r="C140">
        <v>76</v>
      </c>
      <c r="D140">
        <v>0</v>
      </c>
      <c r="E140">
        <v>95143139</v>
      </c>
      <c r="F140">
        <v>3</v>
      </c>
      <c r="G140">
        <v>2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f t="shared" si="2"/>
        <v>0</v>
      </c>
      <c r="V140" t="s">
        <v>125</v>
      </c>
      <c r="W140" t="s">
        <v>125</v>
      </c>
      <c r="X140" t="s">
        <v>124</v>
      </c>
      <c r="Y140">
        <v>-99</v>
      </c>
      <c r="Z140">
        <v>-99</v>
      </c>
      <c r="AA140">
        <v>-99</v>
      </c>
      <c r="AB140">
        <v>-99</v>
      </c>
      <c r="AC140">
        <v>-99</v>
      </c>
      <c r="AD140">
        <v>-99</v>
      </c>
      <c r="AE140">
        <v>-99</v>
      </c>
      <c r="AF140">
        <v>-99</v>
      </c>
      <c r="AG140">
        <v>-99</v>
      </c>
      <c r="AH140">
        <v>-99</v>
      </c>
      <c r="AI140">
        <v>-99</v>
      </c>
      <c r="AJ140">
        <v>-99</v>
      </c>
      <c r="AK140">
        <v>-99</v>
      </c>
      <c r="AL140">
        <v>-99</v>
      </c>
      <c r="AM140">
        <v>-99</v>
      </c>
    </row>
    <row r="141" spans="1:39" x14ac:dyDescent="0.2">
      <c r="A141" t="s">
        <v>10</v>
      </c>
      <c r="B141">
        <v>18</v>
      </c>
      <c r="C141">
        <v>116</v>
      </c>
      <c r="D141">
        <v>0</v>
      </c>
      <c r="E141">
        <v>95143140</v>
      </c>
      <c r="F141">
        <v>3</v>
      </c>
      <c r="G141">
        <v>1</v>
      </c>
      <c r="H141">
        <v>2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f t="shared" si="2"/>
        <v>12</v>
      </c>
      <c r="V141" t="s">
        <v>124</v>
      </c>
      <c r="W141" t="s">
        <v>125</v>
      </c>
      <c r="X141" t="s">
        <v>125</v>
      </c>
      <c r="Y141">
        <v>-99</v>
      </c>
      <c r="Z141">
        <v>-99</v>
      </c>
      <c r="AA141">
        <v>-99</v>
      </c>
      <c r="AB141">
        <v>-99</v>
      </c>
      <c r="AC141">
        <v>-99</v>
      </c>
      <c r="AD141">
        <v>-99</v>
      </c>
      <c r="AE141">
        <v>-99</v>
      </c>
      <c r="AF141">
        <v>-99</v>
      </c>
      <c r="AG141">
        <v>-99</v>
      </c>
      <c r="AH141">
        <v>-99</v>
      </c>
      <c r="AI141">
        <v>-99</v>
      </c>
      <c r="AJ141">
        <v>-99</v>
      </c>
      <c r="AK141">
        <v>-99</v>
      </c>
      <c r="AL141">
        <v>-99</v>
      </c>
      <c r="AM141">
        <v>-99</v>
      </c>
    </row>
    <row r="142" spans="1:39" x14ac:dyDescent="0.2">
      <c r="A142" t="s">
        <v>86</v>
      </c>
      <c r="B142">
        <v>39</v>
      </c>
      <c r="C142">
        <v>150</v>
      </c>
      <c r="D142">
        <v>0</v>
      </c>
      <c r="E142">
        <v>95143141</v>
      </c>
      <c r="F142">
        <v>3</v>
      </c>
      <c r="G142">
        <v>1</v>
      </c>
      <c r="H142">
        <v>4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5</v>
      </c>
      <c r="V142" t="s">
        <v>125</v>
      </c>
      <c r="W142" t="s">
        <v>124</v>
      </c>
      <c r="X142" t="s">
        <v>125</v>
      </c>
      <c r="Y142">
        <v>-99</v>
      </c>
      <c r="Z142">
        <v>-99</v>
      </c>
      <c r="AA142">
        <v>-99</v>
      </c>
      <c r="AB142">
        <v>-99</v>
      </c>
      <c r="AC142">
        <v>-99</v>
      </c>
      <c r="AD142">
        <v>-99</v>
      </c>
      <c r="AE142">
        <v>-99</v>
      </c>
      <c r="AF142">
        <v>-99</v>
      </c>
      <c r="AG142">
        <v>-99</v>
      </c>
      <c r="AH142">
        <v>-99</v>
      </c>
      <c r="AI142">
        <v>-99</v>
      </c>
      <c r="AJ142">
        <v>-99</v>
      </c>
      <c r="AK142">
        <v>-99</v>
      </c>
      <c r="AL142">
        <v>-99</v>
      </c>
      <c r="AM142">
        <v>-99</v>
      </c>
    </row>
    <row r="143" spans="1:39" x14ac:dyDescent="0.2">
      <c r="A143" t="s">
        <v>87</v>
      </c>
      <c r="B143">
        <v>25</v>
      </c>
      <c r="C143">
        <v>32</v>
      </c>
      <c r="D143">
        <v>0</v>
      </c>
      <c r="E143" s="1">
        <v>95143142</v>
      </c>
      <c r="F143">
        <v>3</v>
      </c>
      <c r="G143">
        <v>2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f t="shared" si="2"/>
        <v>4</v>
      </c>
      <c r="V143" t="s">
        <v>125</v>
      </c>
      <c r="W143" t="s">
        <v>124</v>
      </c>
      <c r="X143" t="s">
        <v>125</v>
      </c>
      <c r="Y143">
        <v>-99</v>
      </c>
      <c r="Z143">
        <v>-99</v>
      </c>
      <c r="AA143">
        <v>-99</v>
      </c>
      <c r="AB143">
        <v>-99</v>
      </c>
      <c r="AC143">
        <v>-99</v>
      </c>
      <c r="AD143">
        <v>-99</v>
      </c>
      <c r="AE143">
        <v>-99</v>
      </c>
      <c r="AF143">
        <v>-99</v>
      </c>
      <c r="AG143">
        <v>-99</v>
      </c>
      <c r="AH143">
        <v>-99</v>
      </c>
      <c r="AI143">
        <v>-99</v>
      </c>
      <c r="AJ143">
        <v>-99</v>
      </c>
      <c r="AK143">
        <v>-99</v>
      </c>
      <c r="AL143">
        <v>-99</v>
      </c>
      <c r="AM143">
        <v>-99</v>
      </c>
    </row>
    <row r="144" spans="1:39" x14ac:dyDescent="0.2">
      <c r="A144" t="s">
        <v>88</v>
      </c>
      <c r="B144">
        <v>8</v>
      </c>
      <c r="C144">
        <v>272</v>
      </c>
      <c r="D144">
        <v>0</v>
      </c>
      <c r="E144">
        <v>95143143</v>
      </c>
      <c r="F144">
        <v>3</v>
      </c>
      <c r="G144">
        <v>1</v>
      </c>
      <c r="H144">
        <v>2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</v>
      </c>
      <c r="U144">
        <f t="shared" si="2"/>
        <v>7</v>
      </c>
      <c r="V144" t="s">
        <v>124</v>
      </c>
      <c r="W144" t="s">
        <v>125</v>
      </c>
      <c r="X144" t="s">
        <v>125</v>
      </c>
      <c r="Y144">
        <v>-99</v>
      </c>
      <c r="Z144">
        <v>-99</v>
      </c>
      <c r="AA144">
        <v>-99</v>
      </c>
      <c r="AB144">
        <v>-99</v>
      </c>
      <c r="AC144">
        <v>-99</v>
      </c>
      <c r="AD144">
        <v>-99</v>
      </c>
      <c r="AE144">
        <v>-99</v>
      </c>
      <c r="AF144">
        <v>-99</v>
      </c>
      <c r="AG144">
        <v>-99</v>
      </c>
      <c r="AH144">
        <v>-99</v>
      </c>
      <c r="AI144">
        <v>-99</v>
      </c>
      <c r="AJ144">
        <v>-99</v>
      </c>
      <c r="AK144">
        <v>-99</v>
      </c>
      <c r="AL144">
        <v>-99</v>
      </c>
      <c r="AM144">
        <v>-99</v>
      </c>
    </row>
    <row r="145" spans="1:39" x14ac:dyDescent="0.2">
      <c r="A145" t="s">
        <v>73</v>
      </c>
      <c r="B145">
        <v>14</v>
      </c>
      <c r="C145">
        <v>149309</v>
      </c>
      <c r="D145">
        <v>0</v>
      </c>
      <c r="E145">
        <v>95143144</v>
      </c>
      <c r="F145">
        <v>3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f t="shared" si="2"/>
        <v>3</v>
      </c>
      <c r="V145" t="s">
        <v>125</v>
      </c>
      <c r="W145" t="s">
        <v>125</v>
      </c>
      <c r="X145" t="s">
        <v>124</v>
      </c>
      <c r="Y145">
        <v>-99</v>
      </c>
      <c r="Z145">
        <v>-99</v>
      </c>
      <c r="AA145">
        <v>-99</v>
      </c>
      <c r="AB145">
        <v>-99</v>
      </c>
      <c r="AC145">
        <v>-99</v>
      </c>
      <c r="AD145">
        <v>-99</v>
      </c>
      <c r="AE145">
        <v>-99</v>
      </c>
      <c r="AF145">
        <v>-99</v>
      </c>
      <c r="AG145">
        <v>-99</v>
      </c>
      <c r="AH145">
        <v>-99</v>
      </c>
      <c r="AI145">
        <v>-99</v>
      </c>
      <c r="AJ145">
        <v>-99</v>
      </c>
      <c r="AK145">
        <v>-99</v>
      </c>
      <c r="AL145">
        <v>-99</v>
      </c>
      <c r="AM145">
        <v>-99</v>
      </c>
    </row>
    <row r="146" spans="1:39" x14ac:dyDescent="0.2">
      <c r="A146" t="s">
        <v>74</v>
      </c>
      <c r="B146">
        <v>18</v>
      </c>
      <c r="C146">
        <v>150</v>
      </c>
      <c r="D146">
        <v>0</v>
      </c>
      <c r="E146">
        <v>95143145</v>
      </c>
      <c r="F146">
        <v>3</v>
      </c>
      <c r="G146">
        <v>1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f t="shared" si="2"/>
        <v>0</v>
      </c>
      <c r="V146" t="s">
        <v>125</v>
      </c>
      <c r="W146" t="s">
        <v>125</v>
      </c>
      <c r="X146" t="s">
        <v>125</v>
      </c>
      <c r="Y146">
        <v>-99</v>
      </c>
      <c r="Z146">
        <v>-99</v>
      </c>
      <c r="AA146">
        <v>-99</v>
      </c>
      <c r="AB146">
        <v>-99</v>
      </c>
      <c r="AC146">
        <v>-99</v>
      </c>
      <c r="AD146">
        <v>-99</v>
      </c>
      <c r="AE146">
        <v>-99</v>
      </c>
      <c r="AF146">
        <v>-99</v>
      </c>
      <c r="AG146">
        <v>-99</v>
      </c>
      <c r="AH146">
        <v>-99</v>
      </c>
      <c r="AI146">
        <v>-99</v>
      </c>
      <c r="AJ146">
        <v>-99</v>
      </c>
      <c r="AK146">
        <v>-99</v>
      </c>
      <c r="AL146">
        <v>-99</v>
      </c>
      <c r="AM146">
        <v>-99</v>
      </c>
    </row>
  </sheetData>
  <autoFilter ref="B1:B146" xr:uid="{ECF320A2-35F5-6A4A-BD2F-AD7CF504BD1E}"/>
  <pageMargins left="0.7" right="0.7" top="0.75" bottom="0.75" header="0.3" footer="0.3"/>
  <ignoredErrors>
    <ignoredError sqref="U106 U2:U10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953E-29D0-3A43-B7E9-52B3B7F187DB}">
  <dimension ref="A1:A145"/>
  <sheetViews>
    <sheetView topLeftCell="A21" workbookViewId="0">
      <selection activeCell="P41" sqref="P41"/>
    </sheetView>
  </sheetViews>
  <sheetFormatPr baseColWidth="10" defaultRowHeight="16" x14ac:dyDescent="0.2"/>
  <sheetData>
    <row r="1" spans="1:1" x14ac:dyDescent="0.2">
      <c r="A1" t="s">
        <v>90</v>
      </c>
    </row>
    <row r="2" spans="1:1" x14ac:dyDescent="0.2">
      <c r="A2">
        <v>1497</v>
      </c>
    </row>
    <row r="3" spans="1:1" x14ac:dyDescent="0.2">
      <c r="A3">
        <v>2074</v>
      </c>
    </row>
    <row r="4" spans="1:1" x14ac:dyDescent="0.2">
      <c r="A4">
        <v>1334</v>
      </c>
    </row>
    <row r="5" spans="1:1" x14ac:dyDescent="0.2">
      <c r="A5">
        <v>1153</v>
      </c>
    </row>
    <row r="6" spans="1:1" x14ac:dyDescent="0.2">
      <c r="A6">
        <v>1602</v>
      </c>
    </row>
    <row r="7" spans="1:1" x14ac:dyDescent="0.2">
      <c r="A7">
        <v>1187</v>
      </c>
    </row>
    <row r="8" spans="1:1" x14ac:dyDescent="0.2">
      <c r="A8">
        <v>1016</v>
      </c>
    </row>
    <row r="9" spans="1:1" x14ac:dyDescent="0.2">
      <c r="A9">
        <v>1879</v>
      </c>
    </row>
    <row r="10" spans="1:1" x14ac:dyDescent="0.2">
      <c r="A10">
        <v>679</v>
      </c>
    </row>
    <row r="11" spans="1:1" x14ac:dyDescent="0.2">
      <c r="A11">
        <v>865</v>
      </c>
    </row>
    <row r="12" spans="1:1" x14ac:dyDescent="0.2">
      <c r="A12">
        <v>594</v>
      </c>
    </row>
    <row r="13" spans="1:1" x14ac:dyDescent="0.2">
      <c r="A13">
        <v>686</v>
      </c>
    </row>
    <row r="14" spans="1:1" x14ac:dyDescent="0.2">
      <c r="A14">
        <v>1298</v>
      </c>
    </row>
    <row r="15" spans="1:1" x14ac:dyDescent="0.2">
      <c r="A15">
        <v>1008</v>
      </c>
    </row>
    <row r="16" spans="1:1" x14ac:dyDescent="0.2">
      <c r="A16">
        <v>642</v>
      </c>
    </row>
    <row r="17" spans="1:1" x14ac:dyDescent="0.2">
      <c r="A17">
        <v>682</v>
      </c>
    </row>
    <row r="18" spans="1:1" x14ac:dyDescent="0.2">
      <c r="A18">
        <v>653</v>
      </c>
    </row>
    <row r="19" spans="1:1" x14ac:dyDescent="0.2">
      <c r="A19">
        <v>2795</v>
      </c>
    </row>
    <row r="20" spans="1:1" x14ac:dyDescent="0.2">
      <c r="A20">
        <v>686</v>
      </c>
    </row>
    <row r="21" spans="1:1" x14ac:dyDescent="0.2">
      <c r="A21">
        <v>968</v>
      </c>
    </row>
    <row r="22" spans="1:1" x14ac:dyDescent="0.2">
      <c r="A22">
        <v>1497</v>
      </c>
    </row>
    <row r="23" spans="1:1" x14ac:dyDescent="0.2">
      <c r="A23">
        <v>2074</v>
      </c>
    </row>
    <row r="24" spans="1:1" x14ac:dyDescent="0.2">
      <c r="A24">
        <v>1334</v>
      </c>
    </row>
    <row r="25" spans="1:1" x14ac:dyDescent="0.2">
      <c r="A25">
        <v>1153</v>
      </c>
    </row>
    <row r="26" spans="1:1" x14ac:dyDescent="0.2">
      <c r="A26">
        <v>1602</v>
      </c>
    </row>
    <row r="27" spans="1:1" x14ac:dyDescent="0.2">
      <c r="A27">
        <v>1187</v>
      </c>
    </row>
    <row r="28" spans="1:1" x14ac:dyDescent="0.2">
      <c r="A28">
        <v>1016</v>
      </c>
    </row>
    <row r="29" spans="1:1" x14ac:dyDescent="0.2">
      <c r="A29">
        <v>1879</v>
      </c>
    </row>
    <row r="30" spans="1:1" x14ac:dyDescent="0.2">
      <c r="A30">
        <v>679</v>
      </c>
    </row>
    <row r="31" spans="1:1" x14ac:dyDescent="0.2">
      <c r="A31">
        <v>865</v>
      </c>
    </row>
    <row r="32" spans="1:1" x14ac:dyDescent="0.2">
      <c r="A32">
        <v>594</v>
      </c>
    </row>
    <row r="33" spans="1:1" x14ac:dyDescent="0.2">
      <c r="A33">
        <v>686</v>
      </c>
    </row>
    <row r="34" spans="1:1" x14ac:dyDescent="0.2">
      <c r="A34">
        <v>1298</v>
      </c>
    </row>
    <row r="35" spans="1:1" x14ac:dyDescent="0.2">
      <c r="A35">
        <v>1008</v>
      </c>
    </row>
    <row r="36" spans="1:1" x14ac:dyDescent="0.2">
      <c r="A36">
        <v>642</v>
      </c>
    </row>
    <row r="37" spans="1:1" x14ac:dyDescent="0.2">
      <c r="A37">
        <v>682</v>
      </c>
    </row>
    <row r="38" spans="1:1" x14ac:dyDescent="0.2">
      <c r="A38">
        <v>653</v>
      </c>
    </row>
    <row r="39" spans="1:1" x14ac:dyDescent="0.2">
      <c r="A39">
        <v>2600</v>
      </c>
    </row>
    <row r="40" spans="1:1" x14ac:dyDescent="0.2">
      <c r="A40">
        <v>686</v>
      </c>
    </row>
    <row r="41" spans="1:1" x14ac:dyDescent="0.2">
      <c r="A41">
        <v>968</v>
      </c>
    </row>
    <row r="42" spans="1:1" x14ac:dyDescent="0.2">
      <c r="A42">
        <v>679</v>
      </c>
    </row>
    <row r="43" spans="1:1" x14ac:dyDescent="0.2">
      <c r="A43">
        <v>865</v>
      </c>
    </row>
    <row r="44" spans="1:1" x14ac:dyDescent="0.2">
      <c r="A44">
        <v>594</v>
      </c>
    </row>
    <row r="45" spans="1:1" x14ac:dyDescent="0.2">
      <c r="A45">
        <v>686</v>
      </c>
    </row>
    <row r="46" spans="1:1" x14ac:dyDescent="0.2">
      <c r="A46">
        <v>1298</v>
      </c>
    </row>
    <row r="47" spans="1:1" x14ac:dyDescent="0.2">
      <c r="A47">
        <v>1008</v>
      </c>
    </row>
    <row r="48" spans="1:1" x14ac:dyDescent="0.2">
      <c r="A48">
        <v>642</v>
      </c>
    </row>
    <row r="49" spans="1:1" x14ac:dyDescent="0.2">
      <c r="A49">
        <v>682</v>
      </c>
    </row>
    <row r="50" spans="1:1" x14ac:dyDescent="0.2">
      <c r="A50">
        <v>653</v>
      </c>
    </row>
    <row r="51" spans="1:1" x14ac:dyDescent="0.2">
      <c r="A51">
        <v>2495</v>
      </c>
    </row>
    <row r="52" spans="1:1" x14ac:dyDescent="0.2">
      <c r="A52">
        <v>686</v>
      </c>
    </row>
    <row r="53" spans="1:1" x14ac:dyDescent="0.2">
      <c r="A53">
        <v>968</v>
      </c>
    </row>
    <row r="54" spans="1:1" x14ac:dyDescent="0.2">
      <c r="A54">
        <v>1497</v>
      </c>
    </row>
    <row r="55" spans="1:1" x14ac:dyDescent="0.2">
      <c r="A55">
        <v>2074</v>
      </c>
    </row>
    <row r="56" spans="1:1" x14ac:dyDescent="0.2">
      <c r="A56">
        <v>1334</v>
      </c>
    </row>
    <row r="57" spans="1:1" x14ac:dyDescent="0.2">
      <c r="A57">
        <v>1153</v>
      </c>
    </row>
    <row r="58" spans="1:1" x14ac:dyDescent="0.2">
      <c r="A58">
        <v>1602</v>
      </c>
    </row>
    <row r="59" spans="1:1" x14ac:dyDescent="0.2">
      <c r="A59">
        <v>1187</v>
      </c>
    </row>
    <row r="60" spans="1:1" x14ac:dyDescent="0.2">
      <c r="A60">
        <v>1016</v>
      </c>
    </row>
    <row r="61" spans="1:1" x14ac:dyDescent="0.2">
      <c r="A61">
        <v>1879</v>
      </c>
    </row>
    <row r="62" spans="1:1" x14ac:dyDescent="0.2">
      <c r="A62">
        <v>679</v>
      </c>
    </row>
    <row r="63" spans="1:1" x14ac:dyDescent="0.2">
      <c r="A63">
        <v>1298</v>
      </c>
    </row>
    <row r="64" spans="1:1" x14ac:dyDescent="0.2">
      <c r="A64">
        <v>1008</v>
      </c>
    </row>
    <row r="65" spans="1:1" x14ac:dyDescent="0.2">
      <c r="A65">
        <v>642</v>
      </c>
    </row>
    <row r="66" spans="1:1" x14ac:dyDescent="0.2">
      <c r="A66">
        <v>682</v>
      </c>
    </row>
    <row r="67" spans="1:1" x14ac:dyDescent="0.2">
      <c r="A67">
        <v>653</v>
      </c>
    </row>
    <row r="68" spans="1:1" x14ac:dyDescent="0.2">
      <c r="A68">
        <v>2602</v>
      </c>
    </row>
    <row r="69" spans="1:1" x14ac:dyDescent="0.2">
      <c r="A69">
        <v>686</v>
      </c>
    </row>
    <row r="70" spans="1:1" x14ac:dyDescent="0.2">
      <c r="A70">
        <v>968</v>
      </c>
    </row>
    <row r="71" spans="1:1" x14ac:dyDescent="0.2">
      <c r="A71">
        <v>679</v>
      </c>
    </row>
    <row r="72" spans="1:1" x14ac:dyDescent="0.2">
      <c r="A72">
        <v>865</v>
      </c>
    </row>
    <row r="73" spans="1:1" x14ac:dyDescent="0.2">
      <c r="A73">
        <v>594</v>
      </c>
    </row>
    <row r="74" spans="1:1" x14ac:dyDescent="0.2">
      <c r="A74">
        <v>686</v>
      </c>
    </row>
    <row r="75" spans="1:1" x14ac:dyDescent="0.2">
      <c r="A75">
        <v>1298</v>
      </c>
    </row>
    <row r="76" spans="1:1" x14ac:dyDescent="0.2">
      <c r="A76">
        <v>1008</v>
      </c>
    </row>
    <row r="77" spans="1:1" x14ac:dyDescent="0.2">
      <c r="A77">
        <v>642</v>
      </c>
    </row>
    <row r="78" spans="1:1" x14ac:dyDescent="0.2">
      <c r="A78">
        <v>682</v>
      </c>
    </row>
    <row r="79" spans="1:1" x14ac:dyDescent="0.2">
      <c r="A79">
        <v>653</v>
      </c>
    </row>
    <row r="80" spans="1:1" x14ac:dyDescent="0.2">
      <c r="A80">
        <v>679</v>
      </c>
    </row>
    <row r="81" spans="1:1" x14ac:dyDescent="0.2">
      <c r="A81">
        <v>1298</v>
      </c>
    </row>
    <row r="82" spans="1:1" x14ac:dyDescent="0.2">
      <c r="A82">
        <v>1008</v>
      </c>
    </row>
    <row r="83" spans="1:1" x14ac:dyDescent="0.2">
      <c r="A83">
        <v>642</v>
      </c>
    </row>
    <row r="84" spans="1:1" x14ac:dyDescent="0.2">
      <c r="A84">
        <v>682</v>
      </c>
    </row>
    <row r="85" spans="1:1" x14ac:dyDescent="0.2">
      <c r="A85">
        <v>653</v>
      </c>
    </row>
    <row r="86" spans="1:1" x14ac:dyDescent="0.2">
      <c r="A86">
        <v>2300</v>
      </c>
    </row>
    <row r="87" spans="1:1" x14ac:dyDescent="0.2">
      <c r="A87">
        <v>686</v>
      </c>
    </row>
    <row r="88" spans="1:1" x14ac:dyDescent="0.2">
      <c r="A88">
        <v>968</v>
      </c>
    </row>
    <row r="89" spans="1:1" x14ac:dyDescent="0.2">
      <c r="A89">
        <v>679</v>
      </c>
    </row>
    <row r="90" spans="1:1" x14ac:dyDescent="0.2">
      <c r="A90">
        <v>865</v>
      </c>
    </row>
    <row r="91" spans="1:1" x14ac:dyDescent="0.2">
      <c r="A91">
        <v>594</v>
      </c>
    </row>
    <row r="92" spans="1:1" x14ac:dyDescent="0.2">
      <c r="A92">
        <v>686</v>
      </c>
    </row>
    <row r="93" spans="1:1" x14ac:dyDescent="0.2">
      <c r="A93">
        <v>642</v>
      </c>
    </row>
    <row r="94" spans="1:1" x14ac:dyDescent="0.2">
      <c r="A94">
        <v>682</v>
      </c>
    </row>
    <row r="95" spans="1:1" x14ac:dyDescent="0.2">
      <c r="A95">
        <v>653</v>
      </c>
    </row>
    <row r="96" spans="1:1" x14ac:dyDescent="0.2">
      <c r="A96">
        <v>679</v>
      </c>
    </row>
    <row r="97" spans="1:1" x14ac:dyDescent="0.2">
      <c r="A97">
        <v>1298</v>
      </c>
    </row>
    <row r="98" spans="1:1" x14ac:dyDescent="0.2">
      <c r="A98">
        <v>1008</v>
      </c>
    </row>
    <row r="99" spans="1:1" x14ac:dyDescent="0.2">
      <c r="A99">
        <v>642</v>
      </c>
    </row>
    <row r="100" spans="1:1" x14ac:dyDescent="0.2">
      <c r="A100">
        <v>682</v>
      </c>
    </row>
    <row r="101" spans="1:1" x14ac:dyDescent="0.2">
      <c r="A101">
        <v>653</v>
      </c>
    </row>
    <row r="102" spans="1:1" x14ac:dyDescent="0.2">
      <c r="A102">
        <v>2200</v>
      </c>
    </row>
    <row r="103" spans="1:1" x14ac:dyDescent="0.2">
      <c r="A103">
        <v>686</v>
      </c>
    </row>
    <row r="104" spans="1:1" x14ac:dyDescent="0.2">
      <c r="A104">
        <v>968</v>
      </c>
    </row>
    <row r="105" spans="1:1" x14ac:dyDescent="0.2">
      <c r="A105">
        <v>679</v>
      </c>
    </row>
    <row r="106" spans="1:1" x14ac:dyDescent="0.2">
      <c r="A106">
        <v>980</v>
      </c>
    </row>
    <row r="107" spans="1:1" x14ac:dyDescent="0.2">
      <c r="A107">
        <v>53</v>
      </c>
    </row>
    <row r="108" spans="1:1" x14ac:dyDescent="0.2">
      <c r="A108">
        <v>69</v>
      </c>
    </row>
    <row r="109" spans="1:1" x14ac:dyDescent="0.2">
      <c r="A109">
        <v>38</v>
      </c>
    </row>
    <row r="110" spans="1:1" x14ac:dyDescent="0.2">
      <c r="A110">
        <v>87</v>
      </c>
    </row>
    <row r="111" spans="1:1" x14ac:dyDescent="0.2">
      <c r="A111">
        <v>217</v>
      </c>
    </row>
    <row r="112" spans="1:1" x14ac:dyDescent="0.2">
      <c r="A112">
        <v>289</v>
      </c>
    </row>
    <row r="113" spans="1:1" x14ac:dyDescent="0.2">
      <c r="A113">
        <v>67</v>
      </c>
    </row>
    <row r="114" spans="1:1" x14ac:dyDescent="0.2">
      <c r="A114">
        <v>47</v>
      </c>
    </row>
    <row r="115" spans="1:1" x14ac:dyDescent="0.2">
      <c r="A115">
        <v>568</v>
      </c>
    </row>
    <row r="116" spans="1:1" x14ac:dyDescent="0.2">
      <c r="A116">
        <v>36</v>
      </c>
    </row>
    <row r="117" spans="1:1" x14ac:dyDescent="0.2">
      <c r="A117">
        <v>39</v>
      </c>
    </row>
    <row r="118" spans="1:1" x14ac:dyDescent="0.2">
      <c r="A118">
        <v>41</v>
      </c>
    </row>
    <row r="119" spans="1:1" x14ac:dyDescent="0.2">
      <c r="A119">
        <v>192</v>
      </c>
    </row>
    <row r="120" spans="1:1" x14ac:dyDescent="0.2">
      <c r="A120">
        <v>40</v>
      </c>
    </row>
    <row r="121" spans="1:1" x14ac:dyDescent="0.2">
      <c r="A121">
        <v>371</v>
      </c>
    </row>
    <row r="122" spans="1:1" x14ac:dyDescent="0.2">
      <c r="A122">
        <v>147</v>
      </c>
    </row>
    <row r="123" spans="1:1" x14ac:dyDescent="0.2">
      <c r="A123">
        <v>46</v>
      </c>
    </row>
    <row r="124" spans="1:1" x14ac:dyDescent="0.2">
      <c r="A124">
        <v>45</v>
      </c>
    </row>
    <row r="125" spans="1:1" x14ac:dyDescent="0.2">
      <c r="A125">
        <v>109</v>
      </c>
    </row>
    <row r="126" spans="1:1" x14ac:dyDescent="0.2">
      <c r="A126">
        <v>29</v>
      </c>
    </row>
    <row r="127" spans="1:1" x14ac:dyDescent="0.2">
      <c r="A127">
        <v>26</v>
      </c>
    </row>
    <row r="128" spans="1:1" x14ac:dyDescent="0.2">
      <c r="A128">
        <v>64</v>
      </c>
    </row>
    <row r="129" spans="1:1" x14ac:dyDescent="0.2">
      <c r="A129">
        <v>43</v>
      </c>
    </row>
    <row r="130" spans="1:1" x14ac:dyDescent="0.2">
      <c r="A130">
        <v>45</v>
      </c>
    </row>
    <row r="131" spans="1:1" x14ac:dyDescent="0.2">
      <c r="A131">
        <v>23</v>
      </c>
    </row>
    <row r="132" spans="1:1" x14ac:dyDescent="0.2">
      <c r="A132">
        <v>76</v>
      </c>
    </row>
    <row r="133" spans="1:1" x14ac:dyDescent="0.2">
      <c r="A133">
        <v>63</v>
      </c>
    </row>
    <row r="134" spans="1:1" x14ac:dyDescent="0.2">
      <c r="A134">
        <v>126</v>
      </c>
    </row>
    <row r="135" spans="1:1" x14ac:dyDescent="0.2">
      <c r="A135">
        <v>34</v>
      </c>
    </row>
    <row r="136" spans="1:1" x14ac:dyDescent="0.2">
      <c r="A136">
        <v>105</v>
      </c>
    </row>
    <row r="137" spans="1:1" x14ac:dyDescent="0.2">
      <c r="A137">
        <v>47</v>
      </c>
    </row>
    <row r="138" spans="1:1" x14ac:dyDescent="0.2">
      <c r="A138">
        <v>186</v>
      </c>
    </row>
    <row r="139" spans="1:1" x14ac:dyDescent="0.2">
      <c r="A139">
        <v>130</v>
      </c>
    </row>
    <row r="140" spans="1:1" x14ac:dyDescent="0.2">
      <c r="A140">
        <v>76</v>
      </c>
    </row>
    <row r="141" spans="1:1" x14ac:dyDescent="0.2">
      <c r="A141">
        <v>116</v>
      </c>
    </row>
    <row r="142" spans="1:1" x14ac:dyDescent="0.2">
      <c r="A142">
        <v>150</v>
      </c>
    </row>
    <row r="143" spans="1:1" x14ac:dyDescent="0.2">
      <c r="A143">
        <v>32</v>
      </c>
    </row>
    <row r="144" spans="1:1" x14ac:dyDescent="0.2">
      <c r="A144">
        <v>272</v>
      </c>
    </row>
    <row r="145" spans="1:1" x14ac:dyDescent="0.2">
      <c r="A145">
        <v>150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FBE9-BCE4-584F-BEFC-0C73314DCB49}">
  <dimension ref="A1:R106"/>
  <sheetViews>
    <sheetView topLeftCell="G1" workbookViewId="0">
      <selection activeCell="X7" sqref="X7"/>
    </sheetView>
  </sheetViews>
  <sheetFormatPr baseColWidth="10" defaultRowHeight="16" x14ac:dyDescent="0.2"/>
  <cols>
    <col min="4" max="4" width="12.83203125" customWidth="1"/>
    <col min="13" max="13" width="13.6640625" customWidth="1"/>
  </cols>
  <sheetData>
    <row r="1" spans="1:18" x14ac:dyDescent="0.2">
      <c r="A1" t="s">
        <v>111</v>
      </c>
      <c r="B1" t="s">
        <v>112</v>
      </c>
      <c r="C1" t="s">
        <v>113</v>
      </c>
      <c r="D1" t="s">
        <v>129</v>
      </c>
      <c r="E1" t="s">
        <v>119</v>
      </c>
      <c r="F1" t="s">
        <v>120</v>
      </c>
      <c r="G1" t="s">
        <v>121</v>
      </c>
      <c r="H1" t="s">
        <v>122</v>
      </c>
      <c r="I1" t="s">
        <v>130</v>
      </c>
      <c r="J1" t="s">
        <v>108</v>
      </c>
      <c r="K1" t="s">
        <v>109</v>
      </c>
      <c r="L1" t="s">
        <v>110</v>
      </c>
      <c r="M1" t="s">
        <v>131</v>
      </c>
      <c r="P1" t="s">
        <v>133</v>
      </c>
      <c r="Q1" t="s">
        <v>132</v>
      </c>
      <c r="R1" t="s">
        <v>134</v>
      </c>
    </row>
    <row r="2" spans="1:18" x14ac:dyDescent="0.2">
      <c r="A2">
        <v>1</v>
      </c>
      <c r="B2">
        <v>0</v>
      </c>
      <c r="C2">
        <v>0</v>
      </c>
      <c r="D2">
        <f>SUM(A2:C2)</f>
        <v>1</v>
      </c>
      <c r="E2">
        <v>1</v>
      </c>
      <c r="F2">
        <v>1</v>
      </c>
      <c r="G2">
        <v>1</v>
      </c>
      <c r="H2">
        <v>1</v>
      </c>
      <c r="I2">
        <f>SUM(E2:H2)</f>
        <v>4</v>
      </c>
      <c r="J2">
        <v>1</v>
      </c>
      <c r="K2">
        <v>1</v>
      </c>
      <c r="L2">
        <v>0</v>
      </c>
      <c r="M2">
        <f>SUM(J2:L2)</f>
        <v>2</v>
      </c>
      <c r="O2">
        <v>0</v>
      </c>
      <c r="P2">
        <v>34</v>
      </c>
      <c r="Q2">
        <v>22</v>
      </c>
      <c r="R2">
        <v>10</v>
      </c>
    </row>
    <row r="3" spans="1:18" x14ac:dyDescent="0.2">
      <c r="A3">
        <v>1</v>
      </c>
      <c r="B3">
        <v>0</v>
      </c>
      <c r="C3">
        <v>0</v>
      </c>
      <c r="D3">
        <f>SUM(A3:C3)</f>
        <v>1</v>
      </c>
      <c r="E3">
        <v>1</v>
      </c>
      <c r="F3">
        <v>1</v>
      </c>
      <c r="G3">
        <v>1</v>
      </c>
      <c r="H3">
        <v>1</v>
      </c>
      <c r="I3">
        <f t="shared" ref="I3:I66" si="0">SUM(E3:H3)</f>
        <v>4</v>
      </c>
      <c r="J3">
        <v>1</v>
      </c>
      <c r="K3">
        <v>1</v>
      </c>
      <c r="L3">
        <v>1</v>
      </c>
      <c r="M3">
        <f t="shared" ref="M3:M66" si="1">SUM(J3:L3)</f>
        <v>3</v>
      </c>
      <c r="O3">
        <v>1</v>
      </c>
      <c r="P3">
        <v>40</v>
      </c>
      <c r="Q3">
        <v>67</v>
      </c>
      <c r="R3">
        <v>20</v>
      </c>
    </row>
    <row r="4" spans="1:18" x14ac:dyDescent="0.2">
      <c r="A4">
        <v>0</v>
      </c>
      <c r="B4">
        <v>1</v>
      </c>
      <c r="C4">
        <v>0</v>
      </c>
      <c r="D4">
        <f t="shared" ref="D4:D67" si="2">SUM(A4:C4)</f>
        <v>1</v>
      </c>
      <c r="E4">
        <v>0</v>
      </c>
      <c r="F4">
        <v>1</v>
      </c>
      <c r="G4">
        <v>1</v>
      </c>
      <c r="H4">
        <v>1</v>
      </c>
      <c r="I4">
        <f t="shared" si="0"/>
        <v>3</v>
      </c>
      <c r="J4">
        <v>0</v>
      </c>
      <c r="K4">
        <v>0</v>
      </c>
      <c r="L4">
        <v>0</v>
      </c>
      <c r="M4">
        <f t="shared" si="1"/>
        <v>0</v>
      </c>
      <c r="O4">
        <v>2</v>
      </c>
      <c r="P4">
        <v>24</v>
      </c>
      <c r="Q4">
        <v>4</v>
      </c>
      <c r="R4">
        <v>31</v>
      </c>
    </row>
    <row r="5" spans="1:18" x14ac:dyDescent="0.2">
      <c r="A5">
        <v>0</v>
      </c>
      <c r="B5">
        <v>1</v>
      </c>
      <c r="C5">
        <v>0</v>
      </c>
      <c r="D5">
        <f t="shared" si="2"/>
        <v>1</v>
      </c>
      <c r="E5">
        <v>1</v>
      </c>
      <c r="F5">
        <v>0</v>
      </c>
      <c r="G5">
        <v>1</v>
      </c>
      <c r="H5">
        <v>1</v>
      </c>
      <c r="I5">
        <f t="shared" si="0"/>
        <v>3</v>
      </c>
      <c r="J5">
        <v>1</v>
      </c>
      <c r="K5">
        <v>0</v>
      </c>
      <c r="L5">
        <v>0</v>
      </c>
      <c r="M5">
        <f t="shared" si="1"/>
        <v>1</v>
      </c>
      <c r="O5">
        <v>3</v>
      </c>
      <c r="P5">
        <v>7</v>
      </c>
      <c r="Q5">
        <v>12</v>
      </c>
      <c r="R5">
        <v>22</v>
      </c>
    </row>
    <row r="6" spans="1:18" x14ac:dyDescent="0.2">
      <c r="A6">
        <v>1</v>
      </c>
      <c r="B6">
        <v>1</v>
      </c>
      <c r="C6">
        <v>0</v>
      </c>
      <c r="D6">
        <f t="shared" si="2"/>
        <v>2</v>
      </c>
      <c r="E6">
        <v>1</v>
      </c>
      <c r="F6">
        <v>1</v>
      </c>
      <c r="G6">
        <v>1</v>
      </c>
      <c r="H6">
        <v>1</v>
      </c>
      <c r="I6">
        <f t="shared" si="0"/>
        <v>4</v>
      </c>
      <c r="J6">
        <v>0</v>
      </c>
      <c r="K6">
        <v>1</v>
      </c>
      <c r="L6">
        <v>1</v>
      </c>
      <c r="M6">
        <f t="shared" si="1"/>
        <v>2</v>
      </c>
      <c r="O6">
        <v>4</v>
      </c>
      <c r="R6">
        <v>22</v>
      </c>
    </row>
    <row r="7" spans="1:18" x14ac:dyDescent="0.2">
      <c r="A7">
        <v>1</v>
      </c>
      <c r="B7">
        <v>0</v>
      </c>
      <c r="C7">
        <v>0</v>
      </c>
      <c r="D7">
        <f t="shared" si="2"/>
        <v>1</v>
      </c>
      <c r="E7">
        <v>1</v>
      </c>
      <c r="F7">
        <v>1</v>
      </c>
      <c r="G7">
        <v>1</v>
      </c>
      <c r="H7">
        <v>1</v>
      </c>
      <c r="I7">
        <f t="shared" si="0"/>
        <v>4</v>
      </c>
      <c r="J7">
        <v>0</v>
      </c>
      <c r="K7">
        <v>0</v>
      </c>
      <c r="L7">
        <v>0</v>
      </c>
      <c r="M7">
        <f t="shared" si="1"/>
        <v>0</v>
      </c>
    </row>
    <row r="8" spans="1:18" x14ac:dyDescent="0.2">
      <c r="A8">
        <v>1</v>
      </c>
      <c r="B8">
        <v>0</v>
      </c>
      <c r="C8">
        <v>0</v>
      </c>
      <c r="D8">
        <f t="shared" si="2"/>
        <v>1</v>
      </c>
      <c r="E8">
        <v>1</v>
      </c>
      <c r="F8">
        <v>1</v>
      </c>
      <c r="G8">
        <v>1</v>
      </c>
      <c r="H8">
        <v>0</v>
      </c>
      <c r="I8">
        <f t="shared" si="0"/>
        <v>3</v>
      </c>
      <c r="J8">
        <v>0</v>
      </c>
      <c r="K8">
        <v>0</v>
      </c>
      <c r="L8">
        <v>0</v>
      </c>
      <c r="M8">
        <f t="shared" si="1"/>
        <v>0</v>
      </c>
    </row>
    <row r="9" spans="1:18" x14ac:dyDescent="0.2">
      <c r="A9">
        <v>0</v>
      </c>
      <c r="B9">
        <v>1</v>
      </c>
      <c r="C9">
        <v>0</v>
      </c>
      <c r="D9">
        <f t="shared" si="2"/>
        <v>1</v>
      </c>
      <c r="E9">
        <v>0</v>
      </c>
      <c r="F9">
        <v>0</v>
      </c>
      <c r="G9">
        <v>1</v>
      </c>
      <c r="H9">
        <v>1</v>
      </c>
      <c r="I9">
        <f t="shared" si="0"/>
        <v>2</v>
      </c>
      <c r="J9">
        <v>1</v>
      </c>
      <c r="K9">
        <v>1</v>
      </c>
      <c r="L9">
        <v>0</v>
      </c>
      <c r="M9">
        <f t="shared" si="1"/>
        <v>2</v>
      </c>
    </row>
    <row r="10" spans="1:18" x14ac:dyDescent="0.2">
      <c r="A10">
        <v>1</v>
      </c>
      <c r="B10">
        <v>1</v>
      </c>
      <c r="C10">
        <v>1</v>
      </c>
      <c r="D10">
        <f t="shared" si="2"/>
        <v>3</v>
      </c>
      <c r="E10">
        <v>0</v>
      </c>
      <c r="F10">
        <v>1</v>
      </c>
      <c r="G10">
        <v>1</v>
      </c>
      <c r="H10">
        <v>1</v>
      </c>
      <c r="I10">
        <f t="shared" si="0"/>
        <v>3</v>
      </c>
      <c r="J10">
        <v>0</v>
      </c>
      <c r="K10">
        <v>0</v>
      </c>
      <c r="L10">
        <v>0</v>
      </c>
      <c r="M10">
        <f t="shared" si="1"/>
        <v>0</v>
      </c>
      <c r="P10" t="s">
        <v>133</v>
      </c>
      <c r="Q10" t="s">
        <v>132</v>
      </c>
      <c r="R10" t="s">
        <v>134</v>
      </c>
    </row>
    <row r="11" spans="1:18" x14ac:dyDescent="0.2">
      <c r="A11">
        <v>1</v>
      </c>
      <c r="B11">
        <v>0</v>
      </c>
      <c r="C11">
        <v>0</v>
      </c>
      <c r="D11">
        <f t="shared" si="2"/>
        <v>1</v>
      </c>
      <c r="E11">
        <v>1</v>
      </c>
      <c r="F11">
        <v>0</v>
      </c>
      <c r="G11">
        <v>0</v>
      </c>
      <c r="H11">
        <v>0</v>
      </c>
      <c r="I11">
        <f t="shared" si="0"/>
        <v>1</v>
      </c>
      <c r="J11">
        <v>1</v>
      </c>
      <c r="K11">
        <v>0</v>
      </c>
      <c r="L11">
        <v>1</v>
      </c>
      <c r="M11">
        <f t="shared" si="1"/>
        <v>2</v>
      </c>
      <c r="O11">
        <v>0</v>
      </c>
      <c r="P11" s="2">
        <f>34/105</f>
        <v>0.32380952380952382</v>
      </c>
      <c r="Q11" s="2">
        <f>22/105</f>
        <v>0.20952380952380953</v>
      </c>
      <c r="R11" s="2">
        <f>10/105</f>
        <v>9.5238095238095233E-2</v>
      </c>
    </row>
    <row r="12" spans="1:18" x14ac:dyDescent="0.2">
      <c r="A12">
        <v>1</v>
      </c>
      <c r="B12">
        <v>0</v>
      </c>
      <c r="C12">
        <v>0</v>
      </c>
      <c r="D12">
        <f t="shared" si="2"/>
        <v>1</v>
      </c>
      <c r="E12">
        <v>1</v>
      </c>
      <c r="F12">
        <v>1</v>
      </c>
      <c r="G12">
        <v>1</v>
      </c>
      <c r="H12">
        <v>1</v>
      </c>
      <c r="I12">
        <f t="shared" si="0"/>
        <v>4</v>
      </c>
      <c r="J12">
        <v>1</v>
      </c>
      <c r="K12">
        <v>0</v>
      </c>
      <c r="L12">
        <v>0</v>
      </c>
      <c r="M12">
        <f t="shared" si="1"/>
        <v>1</v>
      </c>
      <c r="O12">
        <v>1</v>
      </c>
      <c r="P12" s="2">
        <f>40/105</f>
        <v>0.38095238095238093</v>
      </c>
      <c r="Q12" s="2">
        <f>67/105</f>
        <v>0.63809523809523805</v>
      </c>
      <c r="R12" s="2">
        <f>20/105</f>
        <v>0.19047619047619047</v>
      </c>
    </row>
    <row r="13" spans="1:18" x14ac:dyDescent="0.2">
      <c r="A13">
        <v>0</v>
      </c>
      <c r="B13">
        <v>0</v>
      </c>
      <c r="C13">
        <v>0</v>
      </c>
      <c r="D13">
        <f t="shared" si="2"/>
        <v>0</v>
      </c>
      <c r="E13">
        <v>0</v>
      </c>
      <c r="F13">
        <v>0</v>
      </c>
      <c r="G13">
        <v>0</v>
      </c>
      <c r="H13">
        <v>0</v>
      </c>
      <c r="I13">
        <f t="shared" si="0"/>
        <v>0</v>
      </c>
      <c r="J13">
        <v>0</v>
      </c>
      <c r="K13">
        <v>0</v>
      </c>
      <c r="L13">
        <v>0</v>
      </c>
      <c r="M13">
        <f t="shared" si="1"/>
        <v>0</v>
      </c>
      <c r="O13">
        <v>2</v>
      </c>
      <c r="P13" s="2">
        <f>24/105</f>
        <v>0.22857142857142856</v>
      </c>
      <c r="Q13" s="2">
        <f>4/105</f>
        <v>3.8095238095238099E-2</v>
      </c>
      <c r="R13" s="2">
        <f>31/105</f>
        <v>0.29523809523809524</v>
      </c>
    </row>
    <row r="14" spans="1:18" x14ac:dyDescent="0.2">
      <c r="A14">
        <v>0</v>
      </c>
      <c r="B14">
        <v>1</v>
      </c>
      <c r="C14">
        <v>0</v>
      </c>
      <c r="D14">
        <f t="shared" si="2"/>
        <v>1</v>
      </c>
      <c r="E14">
        <v>1</v>
      </c>
      <c r="F14">
        <v>1</v>
      </c>
      <c r="G14">
        <v>1</v>
      </c>
      <c r="H14">
        <v>1</v>
      </c>
      <c r="I14">
        <f t="shared" si="0"/>
        <v>4</v>
      </c>
      <c r="J14">
        <v>1</v>
      </c>
      <c r="K14">
        <v>0</v>
      </c>
      <c r="L14">
        <v>0</v>
      </c>
      <c r="M14">
        <f t="shared" si="1"/>
        <v>1</v>
      </c>
      <c r="O14">
        <v>3</v>
      </c>
      <c r="P14" s="2">
        <f>7/105</f>
        <v>6.6666666666666666E-2</v>
      </c>
      <c r="Q14" s="2">
        <f>12/105</f>
        <v>0.11428571428571428</v>
      </c>
      <c r="R14" s="2">
        <f>22/105</f>
        <v>0.20952380952380953</v>
      </c>
    </row>
    <row r="15" spans="1:18" x14ac:dyDescent="0.2">
      <c r="A15">
        <v>0</v>
      </c>
      <c r="B15">
        <v>0</v>
      </c>
      <c r="C15">
        <v>0</v>
      </c>
      <c r="D15">
        <f t="shared" si="2"/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  <c r="J15">
        <v>0</v>
      </c>
      <c r="K15">
        <v>0</v>
      </c>
      <c r="L15">
        <v>0</v>
      </c>
      <c r="M15">
        <f t="shared" si="1"/>
        <v>0</v>
      </c>
      <c r="O15">
        <v>4</v>
      </c>
      <c r="R15" s="2">
        <f>22/105</f>
        <v>0.20952380952380953</v>
      </c>
    </row>
    <row r="16" spans="1:18" x14ac:dyDescent="0.2">
      <c r="A16">
        <v>0</v>
      </c>
      <c r="B16">
        <v>0</v>
      </c>
      <c r="C16">
        <v>0</v>
      </c>
      <c r="D16">
        <f t="shared" si="2"/>
        <v>0</v>
      </c>
      <c r="E16">
        <v>0</v>
      </c>
      <c r="F16">
        <v>0</v>
      </c>
      <c r="G16">
        <v>1</v>
      </c>
      <c r="H16">
        <v>0</v>
      </c>
      <c r="I16">
        <f t="shared" si="0"/>
        <v>1</v>
      </c>
      <c r="J16">
        <v>0</v>
      </c>
      <c r="K16">
        <v>0</v>
      </c>
      <c r="L16">
        <v>0</v>
      </c>
      <c r="M16">
        <f t="shared" si="1"/>
        <v>0</v>
      </c>
    </row>
    <row r="17" spans="1:13" x14ac:dyDescent="0.2">
      <c r="A17">
        <v>0</v>
      </c>
      <c r="B17">
        <v>0</v>
      </c>
      <c r="C17">
        <v>0</v>
      </c>
      <c r="D17">
        <f t="shared" si="2"/>
        <v>0</v>
      </c>
      <c r="E17">
        <v>0</v>
      </c>
      <c r="F17">
        <v>0</v>
      </c>
      <c r="G17">
        <v>1</v>
      </c>
      <c r="H17">
        <v>0</v>
      </c>
      <c r="I17">
        <f t="shared" si="0"/>
        <v>1</v>
      </c>
      <c r="J17">
        <v>0</v>
      </c>
      <c r="K17">
        <v>1</v>
      </c>
      <c r="L17">
        <v>0</v>
      </c>
      <c r="M17">
        <f t="shared" si="1"/>
        <v>1</v>
      </c>
    </row>
    <row r="18" spans="1:13" x14ac:dyDescent="0.2">
      <c r="A18">
        <v>0</v>
      </c>
      <c r="B18">
        <v>1</v>
      </c>
      <c r="C18">
        <v>0</v>
      </c>
      <c r="D18">
        <f t="shared" si="2"/>
        <v>1</v>
      </c>
      <c r="E18">
        <v>0</v>
      </c>
      <c r="F18">
        <v>0</v>
      </c>
      <c r="G18">
        <v>1</v>
      </c>
      <c r="H18">
        <v>1</v>
      </c>
      <c r="I18">
        <f t="shared" si="0"/>
        <v>2</v>
      </c>
      <c r="J18">
        <v>0</v>
      </c>
      <c r="K18">
        <v>1</v>
      </c>
      <c r="L18">
        <v>0</v>
      </c>
      <c r="M18">
        <f t="shared" si="1"/>
        <v>1</v>
      </c>
    </row>
    <row r="19" spans="1:13" x14ac:dyDescent="0.2">
      <c r="A19">
        <v>1</v>
      </c>
      <c r="B19">
        <v>1</v>
      </c>
      <c r="C19">
        <v>1</v>
      </c>
      <c r="D19">
        <f t="shared" si="2"/>
        <v>3</v>
      </c>
      <c r="E19">
        <v>1</v>
      </c>
      <c r="F19">
        <v>0</v>
      </c>
      <c r="G19">
        <v>1</v>
      </c>
      <c r="H19">
        <v>0</v>
      </c>
      <c r="I19">
        <f t="shared" si="0"/>
        <v>2</v>
      </c>
      <c r="J19">
        <v>1</v>
      </c>
      <c r="K19">
        <v>0</v>
      </c>
      <c r="L19">
        <v>0</v>
      </c>
      <c r="M19">
        <f t="shared" si="1"/>
        <v>1</v>
      </c>
    </row>
    <row r="20" spans="1:13" x14ac:dyDescent="0.2">
      <c r="A20">
        <v>0</v>
      </c>
      <c r="B20">
        <v>0</v>
      </c>
      <c r="C20">
        <v>1</v>
      </c>
      <c r="D20">
        <f t="shared" si="2"/>
        <v>1</v>
      </c>
      <c r="E20">
        <v>0</v>
      </c>
      <c r="F20">
        <v>0</v>
      </c>
      <c r="G20">
        <v>1</v>
      </c>
      <c r="H20">
        <v>0</v>
      </c>
      <c r="I20">
        <f t="shared" si="0"/>
        <v>1</v>
      </c>
      <c r="J20">
        <v>1</v>
      </c>
      <c r="K20">
        <v>0</v>
      </c>
      <c r="L20">
        <v>0</v>
      </c>
      <c r="M20">
        <f t="shared" si="1"/>
        <v>1</v>
      </c>
    </row>
    <row r="21" spans="1:13" x14ac:dyDescent="0.2">
      <c r="A21">
        <v>0</v>
      </c>
      <c r="B21">
        <v>1</v>
      </c>
      <c r="C21">
        <v>0</v>
      </c>
      <c r="D21">
        <f t="shared" si="2"/>
        <v>1</v>
      </c>
      <c r="E21">
        <v>1</v>
      </c>
      <c r="F21">
        <v>0</v>
      </c>
      <c r="G21">
        <v>1</v>
      </c>
      <c r="H21">
        <v>0</v>
      </c>
      <c r="I21">
        <f t="shared" si="0"/>
        <v>2</v>
      </c>
      <c r="J21">
        <v>0</v>
      </c>
      <c r="K21">
        <v>0</v>
      </c>
      <c r="L21">
        <v>0</v>
      </c>
      <c r="M21">
        <f t="shared" si="1"/>
        <v>0</v>
      </c>
    </row>
    <row r="22" spans="1:13" x14ac:dyDescent="0.2">
      <c r="A22">
        <v>1</v>
      </c>
      <c r="B22">
        <v>0</v>
      </c>
      <c r="C22">
        <v>0</v>
      </c>
      <c r="D22">
        <f t="shared" si="2"/>
        <v>1</v>
      </c>
      <c r="E22">
        <v>0</v>
      </c>
      <c r="F22">
        <v>1</v>
      </c>
      <c r="G22">
        <v>1</v>
      </c>
      <c r="H22">
        <v>0</v>
      </c>
      <c r="I22">
        <f t="shared" si="0"/>
        <v>2</v>
      </c>
      <c r="J22">
        <v>0</v>
      </c>
      <c r="K22">
        <v>1</v>
      </c>
      <c r="L22">
        <v>0</v>
      </c>
      <c r="M22">
        <f t="shared" si="1"/>
        <v>1</v>
      </c>
    </row>
    <row r="23" spans="1:13" x14ac:dyDescent="0.2">
      <c r="A23">
        <v>0</v>
      </c>
      <c r="B23">
        <v>0</v>
      </c>
      <c r="C23">
        <v>0</v>
      </c>
      <c r="D23">
        <f t="shared" si="2"/>
        <v>0</v>
      </c>
      <c r="E23">
        <v>0</v>
      </c>
      <c r="F23">
        <v>0</v>
      </c>
      <c r="G23">
        <v>1</v>
      </c>
      <c r="H23">
        <v>0</v>
      </c>
      <c r="I23">
        <f t="shared" si="0"/>
        <v>1</v>
      </c>
      <c r="J23">
        <v>0</v>
      </c>
      <c r="K23">
        <v>0</v>
      </c>
      <c r="L23">
        <v>0</v>
      </c>
      <c r="M23">
        <f t="shared" si="1"/>
        <v>0</v>
      </c>
    </row>
    <row r="24" spans="1:13" x14ac:dyDescent="0.2">
      <c r="A24">
        <v>1</v>
      </c>
      <c r="B24">
        <v>0</v>
      </c>
      <c r="C24">
        <v>0</v>
      </c>
      <c r="D24">
        <f t="shared" si="2"/>
        <v>1</v>
      </c>
      <c r="E24">
        <v>0</v>
      </c>
      <c r="F24">
        <v>1</v>
      </c>
      <c r="G24">
        <v>1</v>
      </c>
      <c r="H24">
        <v>0</v>
      </c>
      <c r="I24">
        <f t="shared" si="0"/>
        <v>2</v>
      </c>
      <c r="J24">
        <v>0</v>
      </c>
      <c r="K24">
        <v>0</v>
      </c>
      <c r="L24">
        <v>1</v>
      </c>
      <c r="M24">
        <f t="shared" si="1"/>
        <v>1</v>
      </c>
    </row>
    <row r="25" spans="1:13" x14ac:dyDescent="0.2">
      <c r="A25">
        <v>0</v>
      </c>
      <c r="B25">
        <v>0</v>
      </c>
      <c r="C25">
        <v>0</v>
      </c>
      <c r="D25">
        <f t="shared" si="2"/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  <c r="J25">
        <v>0</v>
      </c>
      <c r="K25">
        <v>1</v>
      </c>
      <c r="L25">
        <v>0</v>
      </c>
      <c r="M25">
        <f t="shared" si="1"/>
        <v>1</v>
      </c>
    </row>
    <row r="26" spans="1:13" x14ac:dyDescent="0.2">
      <c r="A26">
        <v>0</v>
      </c>
      <c r="B26">
        <v>1</v>
      </c>
      <c r="C26">
        <v>0</v>
      </c>
      <c r="D26">
        <f t="shared" si="2"/>
        <v>1</v>
      </c>
      <c r="E26">
        <v>0</v>
      </c>
      <c r="F26">
        <v>1</v>
      </c>
      <c r="G26">
        <v>1</v>
      </c>
      <c r="H26">
        <v>1</v>
      </c>
      <c r="I26">
        <f t="shared" si="0"/>
        <v>3</v>
      </c>
      <c r="J26">
        <v>1</v>
      </c>
      <c r="K26">
        <v>1</v>
      </c>
      <c r="L26">
        <v>1</v>
      </c>
      <c r="M26">
        <f t="shared" si="1"/>
        <v>3</v>
      </c>
    </row>
    <row r="27" spans="1:13" x14ac:dyDescent="0.2">
      <c r="A27">
        <v>1</v>
      </c>
      <c r="B27">
        <v>1</v>
      </c>
      <c r="C27">
        <v>1</v>
      </c>
      <c r="D27">
        <f t="shared" si="2"/>
        <v>3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</row>
    <row r="28" spans="1:13" x14ac:dyDescent="0.2">
      <c r="A28">
        <v>1</v>
      </c>
      <c r="B28">
        <v>1</v>
      </c>
      <c r="C28">
        <v>1</v>
      </c>
      <c r="D28">
        <f t="shared" si="2"/>
        <v>3</v>
      </c>
      <c r="E28">
        <v>1</v>
      </c>
      <c r="F28">
        <v>1</v>
      </c>
      <c r="G28">
        <v>1</v>
      </c>
      <c r="H28">
        <v>1</v>
      </c>
      <c r="I28">
        <f t="shared" si="0"/>
        <v>4</v>
      </c>
      <c r="J28">
        <v>0</v>
      </c>
      <c r="K28">
        <v>0</v>
      </c>
      <c r="L28">
        <v>0</v>
      </c>
      <c r="M28">
        <f t="shared" si="1"/>
        <v>0</v>
      </c>
    </row>
    <row r="29" spans="1:13" x14ac:dyDescent="0.2">
      <c r="A29">
        <v>1</v>
      </c>
      <c r="B29">
        <v>0</v>
      </c>
      <c r="C29">
        <v>0</v>
      </c>
      <c r="D29">
        <f t="shared" si="2"/>
        <v>1</v>
      </c>
      <c r="E29">
        <v>0</v>
      </c>
      <c r="F29">
        <v>1</v>
      </c>
      <c r="G29">
        <v>0</v>
      </c>
      <c r="H29">
        <v>0</v>
      </c>
      <c r="I29">
        <f t="shared" si="0"/>
        <v>1</v>
      </c>
      <c r="J29">
        <v>0</v>
      </c>
      <c r="K29">
        <v>1</v>
      </c>
      <c r="L29">
        <v>0</v>
      </c>
      <c r="M29">
        <f t="shared" si="1"/>
        <v>1</v>
      </c>
    </row>
    <row r="30" spans="1:13" x14ac:dyDescent="0.2">
      <c r="A30">
        <v>1</v>
      </c>
      <c r="B30">
        <v>0</v>
      </c>
      <c r="C30">
        <v>0</v>
      </c>
      <c r="D30">
        <f t="shared" si="2"/>
        <v>1</v>
      </c>
      <c r="E30">
        <v>1</v>
      </c>
      <c r="F30">
        <v>0</v>
      </c>
      <c r="G30">
        <v>1</v>
      </c>
      <c r="H30">
        <v>0</v>
      </c>
      <c r="I30">
        <f t="shared" si="0"/>
        <v>2</v>
      </c>
      <c r="J30">
        <v>0</v>
      </c>
      <c r="K30">
        <v>0</v>
      </c>
      <c r="L30">
        <v>1</v>
      </c>
      <c r="M30">
        <f t="shared" si="1"/>
        <v>1</v>
      </c>
    </row>
    <row r="31" spans="1:13" x14ac:dyDescent="0.2">
      <c r="A31">
        <v>0</v>
      </c>
      <c r="B31">
        <v>0</v>
      </c>
      <c r="C31">
        <v>1</v>
      </c>
      <c r="D31">
        <f t="shared" si="2"/>
        <v>1</v>
      </c>
      <c r="E31">
        <v>1</v>
      </c>
      <c r="F31">
        <v>1</v>
      </c>
      <c r="G31">
        <v>1</v>
      </c>
      <c r="H31">
        <v>0</v>
      </c>
      <c r="I31">
        <f t="shared" si="0"/>
        <v>3</v>
      </c>
      <c r="J31">
        <v>0</v>
      </c>
      <c r="K31">
        <v>0</v>
      </c>
      <c r="L31">
        <v>0</v>
      </c>
      <c r="M31">
        <f>SUM(J31:L31)</f>
        <v>0</v>
      </c>
    </row>
    <row r="32" spans="1:13" x14ac:dyDescent="0.2">
      <c r="A32">
        <v>1</v>
      </c>
      <c r="B32">
        <v>0</v>
      </c>
      <c r="C32">
        <v>0</v>
      </c>
      <c r="D32">
        <f t="shared" si="2"/>
        <v>1</v>
      </c>
      <c r="E32">
        <v>0</v>
      </c>
      <c r="F32">
        <v>1</v>
      </c>
      <c r="G32">
        <v>0</v>
      </c>
      <c r="H32">
        <v>0</v>
      </c>
      <c r="I32">
        <f t="shared" si="0"/>
        <v>1</v>
      </c>
      <c r="J32">
        <v>0</v>
      </c>
      <c r="K32">
        <v>0</v>
      </c>
      <c r="L32">
        <v>0</v>
      </c>
      <c r="M32">
        <f t="shared" si="1"/>
        <v>0</v>
      </c>
    </row>
    <row r="33" spans="1:13" x14ac:dyDescent="0.2">
      <c r="A33">
        <v>1</v>
      </c>
      <c r="B33">
        <v>1</v>
      </c>
      <c r="C33">
        <v>1</v>
      </c>
      <c r="D33">
        <f t="shared" si="2"/>
        <v>3</v>
      </c>
      <c r="E33">
        <v>0</v>
      </c>
      <c r="F33">
        <v>1</v>
      </c>
      <c r="G33">
        <v>1</v>
      </c>
      <c r="H33">
        <v>0</v>
      </c>
      <c r="I33">
        <f t="shared" si="0"/>
        <v>2</v>
      </c>
      <c r="J33">
        <v>0</v>
      </c>
      <c r="K33">
        <v>0</v>
      </c>
      <c r="L33">
        <v>1</v>
      </c>
      <c r="M33">
        <f t="shared" si="1"/>
        <v>1</v>
      </c>
    </row>
    <row r="34" spans="1:13" x14ac:dyDescent="0.2">
      <c r="A34">
        <v>1</v>
      </c>
      <c r="B34">
        <v>0</v>
      </c>
      <c r="C34">
        <v>0</v>
      </c>
      <c r="D34">
        <f t="shared" si="2"/>
        <v>1</v>
      </c>
      <c r="E34">
        <v>1</v>
      </c>
      <c r="F34">
        <v>1</v>
      </c>
      <c r="G34">
        <v>1</v>
      </c>
      <c r="H34">
        <v>1</v>
      </c>
      <c r="I34">
        <f t="shared" si="0"/>
        <v>4</v>
      </c>
      <c r="J34">
        <v>0</v>
      </c>
      <c r="K34">
        <v>0</v>
      </c>
      <c r="L34">
        <v>1</v>
      </c>
      <c r="M34">
        <f t="shared" si="1"/>
        <v>1</v>
      </c>
    </row>
    <row r="35" spans="1:13" x14ac:dyDescent="0.2">
      <c r="A35">
        <v>0</v>
      </c>
      <c r="B35">
        <v>1</v>
      </c>
      <c r="C35">
        <v>0</v>
      </c>
      <c r="D35">
        <f t="shared" si="2"/>
        <v>1</v>
      </c>
      <c r="E35">
        <v>0</v>
      </c>
      <c r="F35">
        <v>0</v>
      </c>
      <c r="G35">
        <v>0</v>
      </c>
      <c r="H35">
        <v>1</v>
      </c>
      <c r="I35">
        <f t="shared" si="0"/>
        <v>1</v>
      </c>
      <c r="J35">
        <v>1</v>
      </c>
      <c r="K35">
        <v>1</v>
      </c>
      <c r="L35">
        <v>0</v>
      </c>
      <c r="M35">
        <f t="shared" si="1"/>
        <v>2</v>
      </c>
    </row>
    <row r="36" spans="1:13" x14ac:dyDescent="0.2">
      <c r="A36">
        <v>1</v>
      </c>
      <c r="B36">
        <v>0</v>
      </c>
      <c r="C36">
        <v>0</v>
      </c>
      <c r="D36">
        <f t="shared" si="2"/>
        <v>1</v>
      </c>
      <c r="E36">
        <v>1</v>
      </c>
      <c r="F36">
        <v>1</v>
      </c>
      <c r="G36">
        <v>1</v>
      </c>
      <c r="H36">
        <v>0</v>
      </c>
      <c r="I36">
        <f t="shared" si="0"/>
        <v>3</v>
      </c>
      <c r="J36">
        <v>1</v>
      </c>
      <c r="K36">
        <v>1</v>
      </c>
      <c r="L36">
        <v>0</v>
      </c>
      <c r="M36">
        <f t="shared" si="1"/>
        <v>2</v>
      </c>
    </row>
    <row r="37" spans="1:13" x14ac:dyDescent="0.2">
      <c r="A37">
        <v>1</v>
      </c>
      <c r="B37">
        <v>1</v>
      </c>
      <c r="C37">
        <v>0</v>
      </c>
      <c r="D37">
        <f t="shared" si="2"/>
        <v>2</v>
      </c>
      <c r="E37">
        <v>0</v>
      </c>
      <c r="F37">
        <v>1</v>
      </c>
      <c r="G37">
        <v>1</v>
      </c>
      <c r="H37">
        <v>1</v>
      </c>
      <c r="I37">
        <f t="shared" si="0"/>
        <v>3</v>
      </c>
      <c r="J37">
        <v>1</v>
      </c>
      <c r="K37">
        <v>1</v>
      </c>
      <c r="L37">
        <v>0</v>
      </c>
      <c r="M37">
        <f t="shared" si="1"/>
        <v>2</v>
      </c>
    </row>
    <row r="38" spans="1:13" x14ac:dyDescent="0.2">
      <c r="A38">
        <v>0</v>
      </c>
      <c r="B38">
        <v>0</v>
      </c>
      <c r="C38">
        <v>0</v>
      </c>
      <c r="D38">
        <f t="shared" si="2"/>
        <v>0</v>
      </c>
      <c r="E38">
        <v>1</v>
      </c>
      <c r="F38">
        <v>1</v>
      </c>
      <c r="G38">
        <v>1</v>
      </c>
      <c r="H38">
        <v>0</v>
      </c>
      <c r="I38">
        <f t="shared" si="0"/>
        <v>3</v>
      </c>
      <c r="J38">
        <v>1</v>
      </c>
      <c r="K38">
        <v>0</v>
      </c>
      <c r="L38">
        <v>0</v>
      </c>
      <c r="M38">
        <f>SUM(J38:L38)</f>
        <v>1</v>
      </c>
    </row>
    <row r="39" spans="1:13" x14ac:dyDescent="0.2">
      <c r="A39">
        <v>0</v>
      </c>
      <c r="B39">
        <v>0</v>
      </c>
      <c r="C39">
        <v>0</v>
      </c>
      <c r="D39">
        <f t="shared" si="2"/>
        <v>0</v>
      </c>
      <c r="E39">
        <v>0</v>
      </c>
      <c r="F39">
        <v>1</v>
      </c>
      <c r="G39">
        <v>1</v>
      </c>
      <c r="H39">
        <v>0</v>
      </c>
      <c r="I39">
        <f t="shared" si="0"/>
        <v>2</v>
      </c>
      <c r="J39">
        <v>0</v>
      </c>
      <c r="K39">
        <v>0</v>
      </c>
      <c r="L39">
        <v>1</v>
      </c>
      <c r="M39">
        <f t="shared" si="1"/>
        <v>1</v>
      </c>
    </row>
    <row r="40" spans="1:13" x14ac:dyDescent="0.2">
      <c r="A40">
        <v>0</v>
      </c>
      <c r="B40">
        <v>0</v>
      </c>
      <c r="C40">
        <v>1</v>
      </c>
      <c r="D40">
        <f t="shared" si="2"/>
        <v>1</v>
      </c>
      <c r="E40">
        <v>1</v>
      </c>
      <c r="F40">
        <v>1</v>
      </c>
      <c r="G40">
        <v>1</v>
      </c>
      <c r="H40">
        <v>0</v>
      </c>
      <c r="I40">
        <f t="shared" si="0"/>
        <v>3</v>
      </c>
      <c r="J40">
        <v>0</v>
      </c>
      <c r="K40">
        <v>0</v>
      </c>
      <c r="L40">
        <v>0</v>
      </c>
      <c r="M40">
        <f t="shared" si="1"/>
        <v>0</v>
      </c>
    </row>
    <row r="41" spans="1:13" x14ac:dyDescent="0.2">
      <c r="A41">
        <v>0</v>
      </c>
      <c r="B41">
        <v>1</v>
      </c>
      <c r="C41">
        <v>0</v>
      </c>
      <c r="D41">
        <f t="shared" si="2"/>
        <v>1</v>
      </c>
      <c r="E41">
        <v>0</v>
      </c>
      <c r="F41">
        <v>0</v>
      </c>
      <c r="G41">
        <v>1</v>
      </c>
      <c r="H41">
        <v>1</v>
      </c>
      <c r="I41">
        <f t="shared" si="0"/>
        <v>2</v>
      </c>
      <c r="J41">
        <v>1</v>
      </c>
      <c r="K41">
        <v>1</v>
      </c>
      <c r="L41">
        <v>0</v>
      </c>
      <c r="M41">
        <f t="shared" si="1"/>
        <v>2</v>
      </c>
    </row>
    <row r="42" spans="1:13" x14ac:dyDescent="0.2">
      <c r="A42">
        <v>0</v>
      </c>
      <c r="B42">
        <v>0</v>
      </c>
      <c r="C42">
        <v>0</v>
      </c>
      <c r="D42">
        <f t="shared" si="2"/>
        <v>0</v>
      </c>
      <c r="E42">
        <v>1</v>
      </c>
      <c r="F42">
        <v>1</v>
      </c>
      <c r="G42">
        <v>1</v>
      </c>
      <c r="H42">
        <v>1</v>
      </c>
      <c r="I42">
        <f t="shared" si="0"/>
        <v>4</v>
      </c>
      <c r="J42">
        <v>0</v>
      </c>
      <c r="K42">
        <v>1</v>
      </c>
      <c r="L42">
        <v>0</v>
      </c>
      <c r="M42">
        <f t="shared" si="1"/>
        <v>1</v>
      </c>
    </row>
    <row r="43" spans="1:13" x14ac:dyDescent="0.2">
      <c r="A43">
        <v>0</v>
      </c>
      <c r="B43">
        <v>1</v>
      </c>
      <c r="C43">
        <v>0</v>
      </c>
      <c r="D43">
        <f t="shared" si="2"/>
        <v>1</v>
      </c>
      <c r="E43">
        <v>0</v>
      </c>
      <c r="F43">
        <v>0</v>
      </c>
      <c r="G43">
        <v>1</v>
      </c>
      <c r="H43">
        <v>1</v>
      </c>
      <c r="I43">
        <f t="shared" si="0"/>
        <v>2</v>
      </c>
      <c r="J43">
        <v>1</v>
      </c>
      <c r="K43">
        <v>0</v>
      </c>
      <c r="L43">
        <v>0</v>
      </c>
      <c r="M43">
        <f t="shared" si="1"/>
        <v>1</v>
      </c>
    </row>
    <row r="44" spans="1:13" x14ac:dyDescent="0.2">
      <c r="A44">
        <v>0</v>
      </c>
      <c r="B44">
        <v>1</v>
      </c>
      <c r="C44">
        <v>0</v>
      </c>
      <c r="D44">
        <f t="shared" si="2"/>
        <v>1</v>
      </c>
      <c r="E44">
        <v>1</v>
      </c>
      <c r="F44">
        <v>0</v>
      </c>
      <c r="G44">
        <v>1</v>
      </c>
      <c r="H44">
        <v>0</v>
      </c>
      <c r="I44">
        <f t="shared" si="0"/>
        <v>2</v>
      </c>
      <c r="J44">
        <v>1</v>
      </c>
      <c r="K44">
        <v>1</v>
      </c>
      <c r="L44">
        <v>0</v>
      </c>
      <c r="M44">
        <f t="shared" si="1"/>
        <v>2</v>
      </c>
    </row>
    <row r="45" spans="1:13" x14ac:dyDescent="0.2">
      <c r="A45">
        <v>1</v>
      </c>
      <c r="B45">
        <v>0</v>
      </c>
      <c r="C45">
        <v>0</v>
      </c>
      <c r="D45">
        <f t="shared" si="2"/>
        <v>1</v>
      </c>
      <c r="E45">
        <v>1</v>
      </c>
      <c r="F45">
        <v>1</v>
      </c>
      <c r="G45">
        <v>1</v>
      </c>
      <c r="H45">
        <v>1</v>
      </c>
      <c r="I45">
        <f t="shared" si="0"/>
        <v>4</v>
      </c>
      <c r="J45">
        <v>0</v>
      </c>
      <c r="K45">
        <v>1</v>
      </c>
      <c r="L45">
        <v>0</v>
      </c>
      <c r="M45">
        <f t="shared" si="1"/>
        <v>1</v>
      </c>
    </row>
    <row r="46" spans="1:13" x14ac:dyDescent="0.2">
      <c r="A46">
        <v>1</v>
      </c>
      <c r="B46">
        <v>0</v>
      </c>
      <c r="C46">
        <v>0</v>
      </c>
      <c r="D46">
        <f t="shared" si="2"/>
        <v>1</v>
      </c>
      <c r="E46">
        <v>0</v>
      </c>
      <c r="F46">
        <v>1</v>
      </c>
      <c r="G46">
        <v>1</v>
      </c>
      <c r="H46">
        <v>0</v>
      </c>
      <c r="I46">
        <f t="shared" si="0"/>
        <v>2</v>
      </c>
      <c r="J46">
        <v>1</v>
      </c>
      <c r="K46">
        <v>0</v>
      </c>
      <c r="L46">
        <v>0</v>
      </c>
      <c r="M46">
        <f t="shared" si="1"/>
        <v>1</v>
      </c>
    </row>
    <row r="47" spans="1:13" x14ac:dyDescent="0.2">
      <c r="A47">
        <v>1</v>
      </c>
      <c r="B47">
        <v>0</v>
      </c>
      <c r="C47">
        <v>0</v>
      </c>
      <c r="D47">
        <f t="shared" si="2"/>
        <v>1</v>
      </c>
      <c r="E47">
        <v>1</v>
      </c>
      <c r="F47">
        <v>1</v>
      </c>
      <c r="G47">
        <v>1</v>
      </c>
      <c r="H47">
        <v>1</v>
      </c>
      <c r="I47">
        <f t="shared" si="0"/>
        <v>4</v>
      </c>
      <c r="J47">
        <v>1</v>
      </c>
      <c r="K47">
        <v>1</v>
      </c>
      <c r="L47">
        <v>0</v>
      </c>
      <c r="M47">
        <f t="shared" si="1"/>
        <v>2</v>
      </c>
    </row>
    <row r="48" spans="1:13" x14ac:dyDescent="0.2">
      <c r="A48">
        <v>1</v>
      </c>
      <c r="B48">
        <v>0</v>
      </c>
      <c r="C48">
        <v>0</v>
      </c>
      <c r="D48">
        <f t="shared" si="2"/>
        <v>1</v>
      </c>
      <c r="E48">
        <v>1</v>
      </c>
      <c r="F48">
        <v>1</v>
      </c>
      <c r="G48">
        <v>1</v>
      </c>
      <c r="H48">
        <v>1</v>
      </c>
      <c r="I48">
        <f t="shared" si="0"/>
        <v>4</v>
      </c>
      <c r="J48">
        <v>1</v>
      </c>
      <c r="K48">
        <v>1</v>
      </c>
      <c r="L48">
        <v>1</v>
      </c>
      <c r="M48">
        <f t="shared" si="1"/>
        <v>3</v>
      </c>
    </row>
    <row r="49" spans="1:13" x14ac:dyDescent="0.2">
      <c r="A49">
        <v>0</v>
      </c>
      <c r="B49">
        <v>1</v>
      </c>
      <c r="C49">
        <v>0</v>
      </c>
      <c r="D49">
        <f t="shared" si="2"/>
        <v>1</v>
      </c>
      <c r="E49">
        <v>0</v>
      </c>
      <c r="F49">
        <v>1</v>
      </c>
      <c r="G49">
        <v>1</v>
      </c>
      <c r="H49">
        <v>1</v>
      </c>
      <c r="I49">
        <f t="shared" si="0"/>
        <v>3</v>
      </c>
      <c r="J49">
        <v>0</v>
      </c>
      <c r="K49">
        <v>0</v>
      </c>
      <c r="L49">
        <v>0</v>
      </c>
      <c r="M49">
        <f t="shared" si="1"/>
        <v>0</v>
      </c>
    </row>
    <row r="50" spans="1:13" x14ac:dyDescent="0.2">
      <c r="A50">
        <v>0</v>
      </c>
      <c r="B50">
        <v>1</v>
      </c>
      <c r="C50">
        <v>0</v>
      </c>
      <c r="D50">
        <f t="shared" si="2"/>
        <v>1</v>
      </c>
      <c r="E50">
        <v>1</v>
      </c>
      <c r="F50">
        <v>0</v>
      </c>
      <c r="G50">
        <v>1</v>
      </c>
      <c r="H50">
        <v>1</v>
      </c>
      <c r="I50">
        <f t="shared" si="0"/>
        <v>3</v>
      </c>
      <c r="J50">
        <v>1</v>
      </c>
      <c r="K50">
        <v>1</v>
      </c>
      <c r="L50">
        <v>0</v>
      </c>
      <c r="M50">
        <f t="shared" si="1"/>
        <v>2</v>
      </c>
    </row>
    <row r="51" spans="1:13" x14ac:dyDescent="0.2">
      <c r="A51">
        <v>1</v>
      </c>
      <c r="B51">
        <v>1</v>
      </c>
      <c r="C51">
        <v>0</v>
      </c>
      <c r="D51">
        <f t="shared" si="2"/>
        <v>2</v>
      </c>
      <c r="E51">
        <v>1</v>
      </c>
      <c r="F51">
        <v>1</v>
      </c>
      <c r="G51">
        <v>1</v>
      </c>
      <c r="H51">
        <v>1</v>
      </c>
      <c r="I51">
        <f t="shared" si="0"/>
        <v>4</v>
      </c>
      <c r="J51">
        <v>1</v>
      </c>
      <c r="K51">
        <v>1</v>
      </c>
      <c r="L51">
        <v>1</v>
      </c>
      <c r="M51">
        <f t="shared" si="1"/>
        <v>3</v>
      </c>
    </row>
    <row r="52" spans="1:13" x14ac:dyDescent="0.2">
      <c r="A52">
        <v>1</v>
      </c>
      <c r="B52">
        <v>0</v>
      </c>
      <c r="C52">
        <v>0</v>
      </c>
      <c r="D52">
        <f t="shared" si="2"/>
        <v>1</v>
      </c>
      <c r="E52">
        <v>1</v>
      </c>
      <c r="F52">
        <v>1</v>
      </c>
      <c r="G52">
        <v>1</v>
      </c>
      <c r="H52">
        <v>1</v>
      </c>
      <c r="I52">
        <f t="shared" si="0"/>
        <v>4</v>
      </c>
      <c r="J52">
        <v>0</v>
      </c>
      <c r="K52">
        <v>0</v>
      </c>
      <c r="L52">
        <v>0</v>
      </c>
      <c r="M52">
        <f t="shared" si="1"/>
        <v>0</v>
      </c>
    </row>
    <row r="53" spans="1:13" x14ac:dyDescent="0.2">
      <c r="A53">
        <v>1</v>
      </c>
      <c r="B53">
        <v>0</v>
      </c>
      <c r="C53">
        <v>0</v>
      </c>
      <c r="D53">
        <f t="shared" si="2"/>
        <v>1</v>
      </c>
      <c r="E53">
        <v>1</v>
      </c>
      <c r="F53">
        <v>1</v>
      </c>
      <c r="G53">
        <v>1</v>
      </c>
      <c r="H53">
        <v>0</v>
      </c>
      <c r="I53">
        <f t="shared" si="0"/>
        <v>3</v>
      </c>
      <c r="J53">
        <v>1</v>
      </c>
      <c r="K53">
        <v>0</v>
      </c>
      <c r="L53">
        <v>0</v>
      </c>
      <c r="M53">
        <f t="shared" si="1"/>
        <v>1</v>
      </c>
    </row>
    <row r="54" spans="1:13" x14ac:dyDescent="0.2">
      <c r="A54">
        <v>0</v>
      </c>
      <c r="B54">
        <v>1</v>
      </c>
      <c r="C54">
        <v>0</v>
      </c>
      <c r="D54">
        <f t="shared" si="2"/>
        <v>1</v>
      </c>
      <c r="E54">
        <v>0</v>
      </c>
      <c r="F54">
        <v>0</v>
      </c>
      <c r="G54">
        <v>1</v>
      </c>
      <c r="H54">
        <v>1</v>
      </c>
      <c r="I54">
        <f t="shared" si="0"/>
        <v>2</v>
      </c>
      <c r="J54">
        <v>0</v>
      </c>
      <c r="K54">
        <v>1</v>
      </c>
      <c r="L54">
        <v>1</v>
      </c>
      <c r="M54">
        <f t="shared" si="1"/>
        <v>2</v>
      </c>
    </row>
    <row r="55" spans="1:13" x14ac:dyDescent="0.2">
      <c r="A55">
        <v>1</v>
      </c>
      <c r="B55">
        <v>1</v>
      </c>
      <c r="C55">
        <v>1</v>
      </c>
      <c r="D55">
        <f t="shared" si="2"/>
        <v>3</v>
      </c>
      <c r="E55">
        <v>0</v>
      </c>
      <c r="F55">
        <v>1</v>
      </c>
      <c r="G55">
        <v>1</v>
      </c>
      <c r="H55">
        <v>1</v>
      </c>
      <c r="I55">
        <f t="shared" si="0"/>
        <v>3</v>
      </c>
      <c r="J55">
        <v>0</v>
      </c>
      <c r="K55">
        <v>0</v>
      </c>
      <c r="L55">
        <v>0</v>
      </c>
      <c r="M55">
        <f t="shared" si="1"/>
        <v>0</v>
      </c>
    </row>
    <row r="56" spans="1:13" x14ac:dyDescent="0.2">
      <c r="A56">
        <v>1</v>
      </c>
      <c r="B56">
        <v>0</v>
      </c>
      <c r="C56">
        <v>0</v>
      </c>
      <c r="D56">
        <f t="shared" si="2"/>
        <v>1</v>
      </c>
      <c r="E56">
        <v>1</v>
      </c>
      <c r="F56">
        <v>0</v>
      </c>
      <c r="G56">
        <v>0</v>
      </c>
      <c r="H56">
        <v>0</v>
      </c>
      <c r="I56">
        <f t="shared" si="0"/>
        <v>1</v>
      </c>
      <c r="J56">
        <v>0</v>
      </c>
      <c r="K56">
        <v>0</v>
      </c>
      <c r="L56">
        <v>0</v>
      </c>
      <c r="M56">
        <f t="shared" si="1"/>
        <v>0</v>
      </c>
    </row>
    <row r="57" spans="1:13" x14ac:dyDescent="0.2">
      <c r="A57">
        <v>1</v>
      </c>
      <c r="B57">
        <v>0</v>
      </c>
      <c r="C57">
        <v>0</v>
      </c>
      <c r="D57">
        <f t="shared" si="2"/>
        <v>1</v>
      </c>
      <c r="E57">
        <v>1</v>
      </c>
      <c r="F57">
        <v>1</v>
      </c>
      <c r="G57">
        <v>1</v>
      </c>
      <c r="H57">
        <v>1</v>
      </c>
      <c r="I57">
        <f t="shared" si="0"/>
        <v>4</v>
      </c>
      <c r="J57">
        <v>1</v>
      </c>
      <c r="K57">
        <v>1</v>
      </c>
      <c r="L57">
        <v>0</v>
      </c>
      <c r="M57">
        <f>SUM(J57:L57)</f>
        <v>2</v>
      </c>
    </row>
    <row r="58" spans="1:13" x14ac:dyDescent="0.2">
      <c r="A58">
        <v>0</v>
      </c>
      <c r="B58">
        <v>0</v>
      </c>
      <c r="C58">
        <v>0</v>
      </c>
      <c r="D58">
        <f t="shared" si="2"/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  <c r="J58">
        <v>0</v>
      </c>
      <c r="K58">
        <v>0</v>
      </c>
      <c r="L58">
        <v>0</v>
      </c>
      <c r="M58">
        <f t="shared" si="1"/>
        <v>0</v>
      </c>
    </row>
    <row r="59" spans="1:13" x14ac:dyDescent="0.2">
      <c r="A59">
        <v>0</v>
      </c>
      <c r="B59">
        <v>1</v>
      </c>
      <c r="C59">
        <v>0</v>
      </c>
      <c r="D59">
        <f t="shared" si="2"/>
        <v>1</v>
      </c>
      <c r="E59">
        <v>1</v>
      </c>
      <c r="F59">
        <v>1</v>
      </c>
      <c r="G59">
        <v>1</v>
      </c>
      <c r="H59">
        <v>1</v>
      </c>
      <c r="I59">
        <f t="shared" si="0"/>
        <v>4</v>
      </c>
      <c r="J59">
        <v>1</v>
      </c>
      <c r="K59">
        <v>0</v>
      </c>
      <c r="L59">
        <v>1</v>
      </c>
      <c r="M59">
        <f t="shared" si="1"/>
        <v>2</v>
      </c>
    </row>
    <row r="60" spans="1:13" x14ac:dyDescent="0.2">
      <c r="A60">
        <v>0</v>
      </c>
      <c r="B60">
        <v>0</v>
      </c>
      <c r="C60">
        <v>0</v>
      </c>
      <c r="D60">
        <f t="shared" si="2"/>
        <v>0</v>
      </c>
      <c r="E60">
        <v>0</v>
      </c>
      <c r="F60">
        <v>0</v>
      </c>
      <c r="G60">
        <v>0</v>
      </c>
      <c r="H60">
        <v>0</v>
      </c>
      <c r="I60">
        <f t="shared" si="0"/>
        <v>0</v>
      </c>
      <c r="J60">
        <v>1</v>
      </c>
      <c r="K60">
        <v>0</v>
      </c>
      <c r="L60">
        <v>0</v>
      </c>
      <c r="M60">
        <f t="shared" si="1"/>
        <v>1</v>
      </c>
    </row>
    <row r="61" spans="1:13" x14ac:dyDescent="0.2">
      <c r="A61">
        <v>0</v>
      </c>
      <c r="B61">
        <v>0</v>
      </c>
      <c r="C61">
        <v>0</v>
      </c>
      <c r="D61">
        <f t="shared" si="2"/>
        <v>0</v>
      </c>
      <c r="E61">
        <v>0</v>
      </c>
      <c r="F61">
        <v>0</v>
      </c>
      <c r="G61">
        <v>1</v>
      </c>
      <c r="H61">
        <v>0</v>
      </c>
      <c r="I61">
        <f t="shared" si="0"/>
        <v>1</v>
      </c>
      <c r="J61">
        <v>0</v>
      </c>
      <c r="K61">
        <v>0</v>
      </c>
      <c r="L61">
        <v>0</v>
      </c>
      <c r="M61">
        <f t="shared" si="1"/>
        <v>0</v>
      </c>
    </row>
    <row r="62" spans="1:13" x14ac:dyDescent="0.2">
      <c r="A62">
        <v>0</v>
      </c>
      <c r="B62">
        <v>0</v>
      </c>
      <c r="C62">
        <v>0</v>
      </c>
      <c r="D62">
        <f t="shared" si="2"/>
        <v>0</v>
      </c>
      <c r="E62">
        <v>0</v>
      </c>
      <c r="F62">
        <v>0</v>
      </c>
      <c r="G62">
        <v>1</v>
      </c>
      <c r="H62">
        <v>0</v>
      </c>
      <c r="I62">
        <f t="shared" si="0"/>
        <v>1</v>
      </c>
      <c r="J62">
        <v>1</v>
      </c>
      <c r="K62">
        <v>0</v>
      </c>
      <c r="L62">
        <v>0</v>
      </c>
      <c r="M62">
        <f t="shared" si="1"/>
        <v>1</v>
      </c>
    </row>
    <row r="63" spans="1:13" x14ac:dyDescent="0.2">
      <c r="A63">
        <v>0</v>
      </c>
      <c r="B63">
        <v>1</v>
      </c>
      <c r="C63">
        <v>0</v>
      </c>
      <c r="D63">
        <f t="shared" si="2"/>
        <v>1</v>
      </c>
      <c r="E63">
        <v>0</v>
      </c>
      <c r="F63">
        <v>0</v>
      </c>
      <c r="G63">
        <v>1</v>
      </c>
      <c r="H63">
        <v>1</v>
      </c>
      <c r="I63">
        <f t="shared" si="0"/>
        <v>2</v>
      </c>
      <c r="J63">
        <v>0</v>
      </c>
      <c r="K63">
        <v>0</v>
      </c>
      <c r="L63">
        <v>0</v>
      </c>
      <c r="M63">
        <f t="shared" si="1"/>
        <v>0</v>
      </c>
    </row>
    <row r="64" spans="1:13" x14ac:dyDescent="0.2">
      <c r="A64">
        <v>1</v>
      </c>
      <c r="B64">
        <v>1</v>
      </c>
      <c r="C64">
        <v>1</v>
      </c>
      <c r="D64">
        <f t="shared" si="2"/>
        <v>3</v>
      </c>
      <c r="E64">
        <v>1</v>
      </c>
      <c r="F64">
        <v>0</v>
      </c>
      <c r="G64">
        <v>1</v>
      </c>
      <c r="H64">
        <v>0</v>
      </c>
      <c r="I64">
        <f t="shared" si="0"/>
        <v>2</v>
      </c>
      <c r="J64">
        <v>0</v>
      </c>
      <c r="K64">
        <v>0</v>
      </c>
      <c r="L64">
        <v>0</v>
      </c>
      <c r="M64">
        <f t="shared" si="1"/>
        <v>0</v>
      </c>
    </row>
    <row r="65" spans="1:13" x14ac:dyDescent="0.2">
      <c r="A65">
        <v>0</v>
      </c>
      <c r="B65">
        <v>0</v>
      </c>
      <c r="C65">
        <v>1</v>
      </c>
      <c r="D65">
        <f t="shared" si="2"/>
        <v>1</v>
      </c>
      <c r="E65">
        <v>0</v>
      </c>
      <c r="F65">
        <v>0</v>
      </c>
      <c r="G65">
        <v>1</v>
      </c>
      <c r="H65">
        <v>0</v>
      </c>
      <c r="I65">
        <f t="shared" si="0"/>
        <v>1</v>
      </c>
      <c r="J65">
        <v>0</v>
      </c>
      <c r="K65">
        <v>1</v>
      </c>
      <c r="L65">
        <v>0</v>
      </c>
      <c r="M65">
        <f t="shared" si="1"/>
        <v>1</v>
      </c>
    </row>
    <row r="66" spans="1:13" x14ac:dyDescent="0.2">
      <c r="A66">
        <v>0</v>
      </c>
      <c r="B66">
        <v>1</v>
      </c>
      <c r="C66">
        <v>0</v>
      </c>
      <c r="D66">
        <f t="shared" si="2"/>
        <v>1</v>
      </c>
      <c r="E66">
        <v>1</v>
      </c>
      <c r="F66">
        <v>0</v>
      </c>
      <c r="G66">
        <v>1</v>
      </c>
      <c r="H66">
        <v>0</v>
      </c>
      <c r="I66">
        <f t="shared" si="0"/>
        <v>2</v>
      </c>
      <c r="J66">
        <v>0</v>
      </c>
      <c r="K66">
        <v>1</v>
      </c>
      <c r="L66">
        <v>0</v>
      </c>
      <c r="M66">
        <f t="shared" si="1"/>
        <v>1</v>
      </c>
    </row>
    <row r="67" spans="1:13" x14ac:dyDescent="0.2">
      <c r="A67">
        <v>1</v>
      </c>
      <c r="B67">
        <v>0</v>
      </c>
      <c r="C67">
        <v>0</v>
      </c>
      <c r="D67">
        <f t="shared" si="2"/>
        <v>1</v>
      </c>
      <c r="E67">
        <v>0</v>
      </c>
      <c r="F67">
        <v>1</v>
      </c>
      <c r="G67">
        <v>1</v>
      </c>
      <c r="H67">
        <v>0</v>
      </c>
      <c r="I67">
        <f t="shared" ref="I67:I106" si="3">SUM(E67:H67)</f>
        <v>2</v>
      </c>
      <c r="J67">
        <v>1</v>
      </c>
      <c r="K67">
        <v>0</v>
      </c>
      <c r="L67">
        <v>0</v>
      </c>
      <c r="M67">
        <f t="shared" ref="M67:M106" si="4">SUM(J67:L67)</f>
        <v>1</v>
      </c>
    </row>
    <row r="68" spans="1:13" x14ac:dyDescent="0.2">
      <c r="A68">
        <v>0</v>
      </c>
      <c r="B68">
        <v>0</v>
      </c>
      <c r="C68">
        <v>0</v>
      </c>
      <c r="D68">
        <f t="shared" ref="D68:D106" si="5">SUM(A68:C68)</f>
        <v>0</v>
      </c>
      <c r="E68">
        <v>0</v>
      </c>
      <c r="F68">
        <v>0</v>
      </c>
      <c r="G68">
        <v>1</v>
      </c>
      <c r="H68">
        <v>0</v>
      </c>
      <c r="I68">
        <f t="shared" si="3"/>
        <v>1</v>
      </c>
      <c r="J68">
        <v>1</v>
      </c>
      <c r="K68">
        <v>0</v>
      </c>
      <c r="L68">
        <v>0</v>
      </c>
      <c r="M68">
        <f t="shared" si="4"/>
        <v>1</v>
      </c>
    </row>
    <row r="69" spans="1:13" x14ac:dyDescent="0.2">
      <c r="A69">
        <v>1</v>
      </c>
      <c r="B69">
        <v>0</v>
      </c>
      <c r="C69">
        <v>0</v>
      </c>
      <c r="D69">
        <f t="shared" si="5"/>
        <v>1</v>
      </c>
      <c r="E69">
        <v>0</v>
      </c>
      <c r="F69">
        <v>1</v>
      </c>
      <c r="G69">
        <v>1</v>
      </c>
      <c r="H69">
        <v>0</v>
      </c>
      <c r="I69">
        <f t="shared" si="3"/>
        <v>2</v>
      </c>
      <c r="J69">
        <v>0</v>
      </c>
      <c r="K69">
        <v>0</v>
      </c>
      <c r="L69">
        <v>0</v>
      </c>
      <c r="M69">
        <f t="shared" si="4"/>
        <v>0</v>
      </c>
    </row>
    <row r="70" spans="1:13" x14ac:dyDescent="0.2">
      <c r="A70">
        <v>0</v>
      </c>
      <c r="B70">
        <v>0</v>
      </c>
      <c r="C70">
        <v>0</v>
      </c>
      <c r="D70">
        <f t="shared" si="5"/>
        <v>0</v>
      </c>
      <c r="E70">
        <v>0</v>
      </c>
      <c r="F70">
        <v>0</v>
      </c>
      <c r="G70">
        <v>0</v>
      </c>
      <c r="H70">
        <v>0</v>
      </c>
      <c r="I70">
        <f t="shared" si="3"/>
        <v>0</v>
      </c>
      <c r="J70">
        <v>0</v>
      </c>
      <c r="K70">
        <v>1</v>
      </c>
      <c r="L70">
        <v>0</v>
      </c>
      <c r="M70">
        <f t="shared" si="4"/>
        <v>1</v>
      </c>
    </row>
    <row r="71" spans="1:13" x14ac:dyDescent="0.2">
      <c r="A71">
        <v>0</v>
      </c>
      <c r="B71">
        <v>1</v>
      </c>
      <c r="C71">
        <v>0</v>
      </c>
      <c r="D71">
        <f t="shared" si="5"/>
        <v>1</v>
      </c>
      <c r="E71">
        <v>0</v>
      </c>
      <c r="F71">
        <v>1</v>
      </c>
      <c r="G71">
        <v>1</v>
      </c>
      <c r="H71">
        <v>1</v>
      </c>
      <c r="I71">
        <f t="shared" si="3"/>
        <v>3</v>
      </c>
      <c r="J71">
        <v>0</v>
      </c>
      <c r="K71">
        <v>0</v>
      </c>
      <c r="L71">
        <v>0</v>
      </c>
      <c r="M71">
        <f t="shared" si="4"/>
        <v>0</v>
      </c>
    </row>
    <row r="72" spans="1:13" x14ac:dyDescent="0.2">
      <c r="A72">
        <v>1</v>
      </c>
      <c r="B72">
        <v>1</v>
      </c>
      <c r="C72">
        <v>1</v>
      </c>
      <c r="D72">
        <f t="shared" si="5"/>
        <v>3</v>
      </c>
      <c r="E72">
        <v>0</v>
      </c>
      <c r="F72">
        <v>0</v>
      </c>
      <c r="G72">
        <v>0</v>
      </c>
      <c r="H72">
        <v>0</v>
      </c>
      <c r="I72">
        <f t="shared" si="3"/>
        <v>0</v>
      </c>
      <c r="J72">
        <v>0</v>
      </c>
      <c r="K72">
        <v>0</v>
      </c>
      <c r="L72">
        <v>1</v>
      </c>
      <c r="M72">
        <f t="shared" si="4"/>
        <v>1</v>
      </c>
    </row>
    <row r="73" spans="1:13" x14ac:dyDescent="0.2">
      <c r="A73">
        <v>1</v>
      </c>
      <c r="B73">
        <v>1</v>
      </c>
      <c r="C73">
        <v>1</v>
      </c>
      <c r="D73">
        <f t="shared" si="5"/>
        <v>3</v>
      </c>
      <c r="E73">
        <v>1</v>
      </c>
      <c r="F73">
        <v>1</v>
      </c>
      <c r="G73">
        <v>1</v>
      </c>
      <c r="H73">
        <v>1</v>
      </c>
      <c r="I73">
        <f t="shared" si="3"/>
        <v>4</v>
      </c>
      <c r="J73">
        <v>0</v>
      </c>
      <c r="K73">
        <v>1</v>
      </c>
      <c r="L73">
        <v>0</v>
      </c>
      <c r="M73">
        <f t="shared" si="4"/>
        <v>1</v>
      </c>
    </row>
    <row r="74" spans="1:13" x14ac:dyDescent="0.2">
      <c r="A74">
        <v>1</v>
      </c>
      <c r="B74">
        <v>0</v>
      </c>
      <c r="C74">
        <v>0</v>
      </c>
      <c r="D74">
        <f t="shared" si="5"/>
        <v>1</v>
      </c>
      <c r="E74">
        <v>0</v>
      </c>
      <c r="F74">
        <v>1</v>
      </c>
      <c r="G74">
        <v>0</v>
      </c>
      <c r="H74">
        <v>0</v>
      </c>
      <c r="I74">
        <f t="shared" si="3"/>
        <v>1</v>
      </c>
      <c r="J74">
        <v>1</v>
      </c>
      <c r="K74">
        <v>1</v>
      </c>
      <c r="L74">
        <v>1</v>
      </c>
      <c r="M74">
        <f t="shared" si="4"/>
        <v>3</v>
      </c>
    </row>
    <row r="75" spans="1:13" x14ac:dyDescent="0.2">
      <c r="A75">
        <v>1</v>
      </c>
      <c r="B75">
        <v>0</v>
      </c>
      <c r="C75">
        <v>0</v>
      </c>
      <c r="D75">
        <f t="shared" si="5"/>
        <v>1</v>
      </c>
      <c r="E75">
        <v>1</v>
      </c>
      <c r="F75">
        <v>0</v>
      </c>
      <c r="G75">
        <v>1</v>
      </c>
      <c r="H75">
        <v>0</v>
      </c>
      <c r="I75">
        <f t="shared" si="3"/>
        <v>2</v>
      </c>
      <c r="J75">
        <v>0</v>
      </c>
      <c r="K75">
        <v>0</v>
      </c>
      <c r="L75">
        <v>0</v>
      </c>
      <c r="M75">
        <f t="shared" si="4"/>
        <v>0</v>
      </c>
    </row>
    <row r="76" spans="1:13" x14ac:dyDescent="0.2">
      <c r="A76">
        <v>0</v>
      </c>
      <c r="B76">
        <v>0</v>
      </c>
      <c r="C76">
        <v>1</v>
      </c>
      <c r="D76">
        <f t="shared" si="5"/>
        <v>1</v>
      </c>
      <c r="E76">
        <v>1</v>
      </c>
      <c r="F76">
        <v>1</v>
      </c>
      <c r="G76">
        <v>1</v>
      </c>
      <c r="H76">
        <v>0</v>
      </c>
      <c r="I76">
        <f t="shared" si="3"/>
        <v>3</v>
      </c>
      <c r="J76">
        <v>0</v>
      </c>
      <c r="K76">
        <v>0</v>
      </c>
      <c r="L76">
        <v>0</v>
      </c>
      <c r="M76">
        <f t="shared" si="4"/>
        <v>0</v>
      </c>
    </row>
    <row r="77" spans="1:13" x14ac:dyDescent="0.2">
      <c r="A77">
        <v>1</v>
      </c>
      <c r="B77">
        <v>0</v>
      </c>
      <c r="C77">
        <v>0</v>
      </c>
      <c r="D77">
        <f t="shared" si="5"/>
        <v>1</v>
      </c>
      <c r="E77">
        <v>0</v>
      </c>
      <c r="F77">
        <v>1</v>
      </c>
      <c r="G77">
        <v>0</v>
      </c>
      <c r="H77">
        <v>0</v>
      </c>
      <c r="I77">
        <f t="shared" si="3"/>
        <v>1</v>
      </c>
      <c r="J77">
        <v>0</v>
      </c>
      <c r="K77">
        <v>1</v>
      </c>
      <c r="L77">
        <v>0</v>
      </c>
      <c r="M77">
        <f t="shared" si="4"/>
        <v>1</v>
      </c>
    </row>
    <row r="78" spans="1:13" x14ac:dyDescent="0.2">
      <c r="A78">
        <v>1</v>
      </c>
      <c r="B78">
        <v>1</v>
      </c>
      <c r="C78">
        <v>1</v>
      </c>
      <c r="D78">
        <f t="shared" si="5"/>
        <v>3</v>
      </c>
      <c r="E78">
        <v>0</v>
      </c>
      <c r="F78">
        <v>1</v>
      </c>
      <c r="G78">
        <v>1</v>
      </c>
      <c r="H78">
        <v>0</v>
      </c>
      <c r="I78">
        <f t="shared" si="3"/>
        <v>2</v>
      </c>
      <c r="J78">
        <v>1</v>
      </c>
      <c r="K78">
        <v>1</v>
      </c>
      <c r="L78">
        <v>0</v>
      </c>
      <c r="M78">
        <f t="shared" si="4"/>
        <v>2</v>
      </c>
    </row>
    <row r="79" spans="1:13" x14ac:dyDescent="0.2">
      <c r="A79">
        <v>1</v>
      </c>
      <c r="B79">
        <v>0</v>
      </c>
      <c r="C79">
        <v>0</v>
      </c>
      <c r="D79">
        <f t="shared" si="5"/>
        <v>1</v>
      </c>
      <c r="E79">
        <v>1</v>
      </c>
      <c r="F79">
        <v>1</v>
      </c>
      <c r="G79">
        <v>1</v>
      </c>
      <c r="H79">
        <v>1</v>
      </c>
      <c r="I79">
        <f t="shared" si="3"/>
        <v>4</v>
      </c>
      <c r="J79">
        <v>1</v>
      </c>
      <c r="K79">
        <v>1</v>
      </c>
      <c r="L79">
        <v>0</v>
      </c>
      <c r="M79">
        <f t="shared" si="4"/>
        <v>2</v>
      </c>
    </row>
    <row r="80" spans="1:13" x14ac:dyDescent="0.2">
      <c r="A80">
        <v>0</v>
      </c>
      <c r="B80">
        <v>1</v>
      </c>
      <c r="C80">
        <v>0</v>
      </c>
      <c r="D80">
        <f t="shared" si="5"/>
        <v>1</v>
      </c>
      <c r="E80">
        <v>0</v>
      </c>
      <c r="F80">
        <v>0</v>
      </c>
      <c r="G80">
        <v>0</v>
      </c>
      <c r="H80">
        <v>1</v>
      </c>
      <c r="I80">
        <f t="shared" si="3"/>
        <v>1</v>
      </c>
      <c r="J80">
        <v>1</v>
      </c>
      <c r="K80">
        <v>1</v>
      </c>
      <c r="L80">
        <v>0</v>
      </c>
      <c r="M80">
        <f t="shared" si="4"/>
        <v>2</v>
      </c>
    </row>
    <row r="81" spans="1:13" x14ac:dyDescent="0.2">
      <c r="A81">
        <v>1</v>
      </c>
      <c r="B81">
        <v>0</v>
      </c>
      <c r="C81">
        <v>0</v>
      </c>
      <c r="D81">
        <f t="shared" si="5"/>
        <v>1</v>
      </c>
      <c r="E81">
        <v>1</v>
      </c>
      <c r="F81">
        <v>1</v>
      </c>
      <c r="G81">
        <v>1</v>
      </c>
      <c r="H81">
        <v>0</v>
      </c>
      <c r="I81">
        <f t="shared" si="3"/>
        <v>3</v>
      </c>
      <c r="J81">
        <v>1</v>
      </c>
      <c r="K81">
        <v>0</v>
      </c>
      <c r="L81">
        <v>0</v>
      </c>
      <c r="M81">
        <f t="shared" si="4"/>
        <v>1</v>
      </c>
    </row>
    <row r="82" spans="1:13" x14ac:dyDescent="0.2">
      <c r="A82">
        <v>1</v>
      </c>
      <c r="B82">
        <v>1</v>
      </c>
      <c r="C82">
        <v>0</v>
      </c>
      <c r="D82">
        <f t="shared" si="5"/>
        <v>2</v>
      </c>
      <c r="E82">
        <v>0</v>
      </c>
      <c r="F82">
        <v>1</v>
      </c>
      <c r="G82">
        <v>1</v>
      </c>
      <c r="H82">
        <v>1</v>
      </c>
      <c r="I82">
        <f t="shared" si="3"/>
        <v>3</v>
      </c>
      <c r="J82">
        <v>0</v>
      </c>
      <c r="K82">
        <v>0</v>
      </c>
      <c r="L82">
        <v>1</v>
      </c>
      <c r="M82">
        <f t="shared" si="4"/>
        <v>1</v>
      </c>
    </row>
    <row r="83" spans="1:13" x14ac:dyDescent="0.2">
      <c r="A83">
        <v>0</v>
      </c>
      <c r="B83">
        <v>0</v>
      </c>
      <c r="C83">
        <v>0</v>
      </c>
      <c r="D83">
        <f t="shared" si="5"/>
        <v>0</v>
      </c>
      <c r="E83">
        <v>1</v>
      </c>
      <c r="F83">
        <v>1</v>
      </c>
      <c r="G83">
        <v>1</v>
      </c>
      <c r="H83">
        <v>0</v>
      </c>
      <c r="I83">
        <f t="shared" si="3"/>
        <v>3</v>
      </c>
      <c r="J83">
        <v>0</v>
      </c>
      <c r="K83">
        <v>0</v>
      </c>
      <c r="L83">
        <v>0</v>
      </c>
      <c r="M83">
        <f t="shared" si="4"/>
        <v>0</v>
      </c>
    </row>
    <row r="84" spans="1:13" x14ac:dyDescent="0.2">
      <c r="A84">
        <v>0</v>
      </c>
      <c r="B84">
        <v>0</v>
      </c>
      <c r="C84">
        <v>0</v>
      </c>
      <c r="D84">
        <f t="shared" si="5"/>
        <v>0</v>
      </c>
      <c r="E84">
        <v>0</v>
      </c>
      <c r="F84">
        <v>1</v>
      </c>
      <c r="G84">
        <v>1</v>
      </c>
      <c r="H84">
        <v>0</v>
      </c>
      <c r="I84">
        <f t="shared" si="3"/>
        <v>2</v>
      </c>
      <c r="J84">
        <v>1</v>
      </c>
      <c r="K84">
        <v>1</v>
      </c>
      <c r="L84">
        <v>0</v>
      </c>
      <c r="M84">
        <f t="shared" si="4"/>
        <v>2</v>
      </c>
    </row>
    <row r="85" spans="1:13" x14ac:dyDescent="0.2">
      <c r="A85">
        <v>0</v>
      </c>
      <c r="B85">
        <v>0</v>
      </c>
      <c r="C85">
        <v>1</v>
      </c>
      <c r="D85">
        <f t="shared" si="5"/>
        <v>1</v>
      </c>
      <c r="E85">
        <v>1</v>
      </c>
      <c r="F85">
        <v>1</v>
      </c>
      <c r="G85">
        <v>1</v>
      </c>
      <c r="H85">
        <v>0</v>
      </c>
      <c r="I85">
        <f t="shared" si="3"/>
        <v>3</v>
      </c>
      <c r="J85">
        <v>0</v>
      </c>
      <c r="K85">
        <v>1</v>
      </c>
      <c r="L85">
        <v>0</v>
      </c>
      <c r="M85">
        <f t="shared" si="4"/>
        <v>1</v>
      </c>
    </row>
    <row r="86" spans="1:13" x14ac:dyDescent="0.2">
      <c r="A86">
        <v>0</v>
      </c>
      <c r="B86">
        <v>1</v>
      </c>
      <c r="C86">
        <v>0</v>
      </c>
      <c r="D86">
        <f t="shared" si="5"/>
        <v>1</v>
      </c>
      <c r="E86">
        <v>0</v>
      </c>
      <c r="F86">
        <v>0</v>
      </c>
      <c r="G86">
        <v>1</v>
      </c>
      <c r="H86">
        <v>1</v>
      </c>
      <c r="I86">
        <f t="shared" si="3"/>
        <v>2</v>
      </c>
      <c r="J86">
        <v>1</v>
      </c>
      <c r="K86">
        <v>0</v>
      </c>
      <c r="L86">
        <v>0</v>
      </c>
      <c r="M86">
        <f>SUM(J86:L86)</f>
        <v>1</v>
      </c>
    </row>
    <row r="87" spans="1:13" x14ac:dyDescent="0.2">
      <c r="A87">
        <v>0</v>
      </c>
      <c r="B87">
        <v>0</v>
      </c>
      <c r="C87">
        <v>0</v>
      </c>
      <c r="D87">
        <f t="shared" si="5"/>
        <v>0</v>
      </c>
      <c r="E87">
        <v>1</v>
      </c>
      <c r="F87">
        <v>1</v>
      </c>
      <c r="G87">
        <v>1</v>
      </c>
      <c r="H87">
        <v>1</v>
      </c>
      <c r="I87">
        <f t="shared" si="3"/>
        <v>4</v>
      </c>
      <c r="J87">
        <v>1</v>
      </c>
      <c r="K87">
        <v>1</v>
      </c>
      <c r="L87">
        <v>0</v>
      </c>
      <c r="M87">
        <f t="shared" si="4"/>
        <v>2</v>
      </c>
    </row>
    <row r="88" spans="1:13" x14ac:dyDescent="0.2">
      <c r="A88">
        <v>0</v>
      </c>
      <c r="B88">
        <v>1</v>
      </c>
      <c r="C88">
        <v>0</v>
      </c>
      <c r="D88">
        <f t="shared" si="5"/>
        <v>1</v>
      </c>
      <c r="E88">
        <v>0</v>
      </c>
      <c r="F88">
        <v>0</v>
      </c>
      <c r="G88">
        <v>1</v>
      </c>
      <c r="H88">
        <v>1</v>
      </c>
      <c r="I88">
        <f t="shared" si="3"/>
        <v>2</v>
      </c>
      <c r="J88">
        <v>0</v>
      </c>
      <c r="K88">
        <v>1</v>
      </c>
      <c r="L88">
        <v>0</v>
      </c>
      <c r="M88">
        <f t="shared" si="4"/>
        <v>1</v>
      </c>
    </row>
    <row r="89" spans="1:13" x14ac:dyDescent="0.2">
      <c r="A89">
        <v>0</v>
      </c>
      <c r="B89">
        <v>1</v>
      </c>
      <c r="C89">
        <v>0</v>
      </c>
      <c r="D89">
        <f t="shared" si="5"/>
        <v>1</v>
      </c>
      <c r="E89">
        <v>1</v>
      </c>
      <c r="F89">
        <v>0</v>
      </c>
      <c r="G89">
        <v>1</v>
      </c>
      <c r="H89">
        <v>0</v>
      </c>
      <c r="I89">
        <f t="shared" si="3"/>
        <v>2</v>
      </c>
      <c r="J89">
        <v>1</v>
      </c>
      <c r="K89">
        <v>0</v>
      </c>
      <c r="L89">
        <v>0</v>
      </c>
      <c r="M89">
        <f t="shared" si="4"/>
        <v>1</v>
      </c>
    </row>
    <row r="90" spans="1:13" x14ac:dyDescent="0.2">
      <c r="A90">
        <v>1</v>
      </c>
      <c r="B90">
        <v>0</v>
      </c>
      <c r="C90">
        <v>0</v>
      </c>
      <c r="D90">
        <f t="shared" si="5"/>
        <v>1</v>
      </c>
      <c r="E90">
        <v>1</v>
      </c>
      <c r="F90">
        <v>1</v>
      </c>
      <c r="G90">
        <v>1</v>
      </c>
      <c r="H90">
        <v>1</v>
      </c>
      <c r="I90">
        <f t="shared" si="3"/>
        <v>4</v>
      </c>
      <c r="J90">
        <v>1</v>
      </c>
      <c r="K90">
        <v>1</v>
      </c>
      <c r="L90">
        <v>0</v>
      </c>
      <c r="M90">
        <f t="shared" si="4"/>
        <v>2</v>
      </c>
    </row>
    <row r="91" spans="1:13" x14ac:dyDescent="0.2">
      <c r="A91">
        <v>1</v>
      </c>
      <c r="B91">
        <v>0</v>
      </c>
      <c r="C91">
        <v>0</v>
      </c>
      <c r="D91">
        <f t="shared" si="5"/>
        <v>1</v>
      </c>
      <c r="E91">
        <v>0</v>
      </c>
      <c r="F91">
        <v>1</v>
      </c>
      <c r="G91">
        <v>1</v>
      </c>
      <c r="H91">
        <v>0</v>
      </c>
      <c r="I91">
        <f t="shared" si="3"/>
        <v>2</v>
      </c>
      <c r="J91">
        <v>1</v>
      </c>
      <c r="K91">
        <v>1</v>
      </c>
      <c r="L91">
        <v>1</v>
      </c>
      <c r="M91">
        <f t="shared" si="4"/>
        <v>3</v>
      </c>
    </row>
    <row r="92" spans="1:13" x14ac:dyDescent="0.2">
      <c r="A92">
        <v>1</v>
      </c>
      <c r="B92">
        <v>0</v>
      </c>
      <c r="C92">
        <v>0</v>
      </c>
      <c r="D92">
        <f t="shared" si="5"/>
        <v>1</v>
      </c>
      <c r="E92">
        <v>1</v>
      </c>
      <c r="F92">
        <v>1</v>
      </c>
      <c r="G92">
        <v>1</v>
      </c>
      <c r="H92">
        <v>0</v>
      </c>
      <c r="I92">
        <f t="shared" si="3"/>
        <v>3</v>
      </c>
      <c r="J92">
        <v>0</v>
      </c>
      <c r="K92">
        <v>0</v>
      </c>
      <c r="L92">
        <v>0</v>
      </c>
      <c r="M92">
        <f t="shared" si="4"/>
        <v>0</v>
      </c>
    </row>
    <row r="93" spans="1:13" x14ac:dyDescent="0.2">
      <c r="A93">
        <v>0</v>
      </c>
      <c r="B93">
        <v>1</v>
      </c>
      <c r="C93">
        <v>0</v>
      </c>
      <c r="D93">
        <f t="shared" si="5"/>
        <v>1</v>
      </c>
      <c r="E93">
        <v>0</v>
      </c>
      <c r="F93">
        <v>0</v>
      </c>
      <c r="G93">
        <v>1</v>
      </c>
      <c r="H93">
        <v>1</v>
      </c>
      <c r="I93">
        <f t="shared" si="3"/>
        <v>2</v>
      </c>
      <c r="J93">
        <v>1</v>
      </c>
      <c r="K93">
        <v>1</v>
      </c>
      <c r="L93">
        <v>0</v>
      </c>
      <c r="M93">
        <f>SUM(J93:L93)</f>
        <v>2</v>
      </c>
    </row>
    <row r="94" spans="1:13" x14ac:dyDescent="0.2">
      <c r="A94">
        <v>1</v>
      </c>
      <c r="B94">
        <v>1</v>
      </c>
      <c r="C94">
        <v>1</v>
      </c>
      <c r="D94">
        <f t="shared" si="5"/>
        <v>3</v>
      </c>
      <c r="E94">
        <v>0</v>
      </c>
      <c r="F94">
        <v>1</v>
      </c>
      <c r="G94">
        <v>1</v>
      </c>
      <c r="H94">
        <v>1</v>
      </c>
      <c r="I94">
        <f t="shared" si="3"/>
        <v>3</v>
      </c>
      <c r="J94">
        <v>1</v>
      </c>
      <c r="K94">
        <v>1</v>
      </c>
      <c r="L94">
        <v>1</v>
      </c>
      <c r="M94">
        <f t="shared" si="4"/>
        <v>3</v>
      </c>
    </row>
    <row r="95" spans="1:13" x14ac:dyDescent="0.2">
      <c r="A95">
        <v>1</v>
      </c>
      <c r="B95">
        <v>0</v>
      </c>
      <c r="C95">
        <v>0</v>
      </c>
      <c r="D95">
        <f t="shared" si="5"/>
        <v>1</v>
      </c>
      <c r="E95">
        <v>1</v>
      </c>
      <c r="F95">
        <v>0</v>
      </c>
      <c r="G95">
        <v>0</v>
      </c>
      <c r="H95">
        <v>0</v>
      </c>
      <c r="I95">
        <f t="shared" si="3"/>
        <v>1</v>
      </c>
      <c r="J95">
        <v>0</v>
      </c>
      <c r="K95">
        <v>0</v>
      </c>
      <c r="L95">
        <v>0</v>
      </c>
      <c r="M95">
        <f t="shared" si="4"/>
        <v>0</v>
      </c>
    </row>
    <row r="96" spans="1:13" x14ac:dyDescent="0.2">
      <c r="A96">
        <v>1</v>
      </c>
      <c r="B96">
        <v>0</v>
      </c>
      <c r="C96">
        <v>0</v>
      </c>
      <c r="D96">
        <f t="shared" si="5"/>
        <v>1</v>
      </c>
      <c r="E96">
        <v>1</v>
      </c>
      <c r="F96">
        <v>1</v>
      </c>
      <c r="G96">
        <v>1</v>
      </c>
      <c r="H96">
        <v>1</v>
      </c>
      <c r="I96">
        <f t="shared" si="3"/>
        <v>4</v>
      </c>
      <c r="J96">
        <v>1</v>
      </c>
      <c r="K96">
        <v>0</v>
      </c>
      <c r="L96">
        <v>0</v>
      </c>
      <c r="M96">
        <f t="shared" si="4"/>
        <v>1</v>
      </c>
    </row>
    <row r="97" spans="1:13" x14ac:dyDescent="0.2">
      <c r="A97">
        <v>0</v>
      </c>
      <c r="B97">
        <v>0</v>
      </c>
      <c r="C97">
        <v>0</v>
      </c>
      <c r="D97">
        <f t="shared" si="5"/>
        <v>0</v>
      </c>
      <c r="E97">
        <v>0</v>
      </c>
      <c r="F97">
        <v>0</v>
      </c>
      <c r="G97">
        <v>0</v>
      </c>
      <c r="H97">
        <v>0</v>
      </c>
      <c r="I97">
        <f t="shared" si="3"/>
        <v>0</v>
      </c>
      <c r="J97">
        <v>0</v>
      </c>
      <c r="K97">
        <v>1</v>
      </c>
      <c r="L97">
        <v>1</v>
      </c>
      <c r="M97">
        <f t="shared" si="4"/>
        <v>2</v>
      </c>
    </row>
    <row r="98" spans="1:13" x14ac:dyDescent="0.2">
      <c r="A98">
        <v>0</v>
      </c>
      <c r="B98">
        <v>1</v>
      </c>
      <c r="C98">
        <v>0</v>
      </c>
      <c r="D98">
        <f t="shared" si="5"/>
        <v>1</v>
      </c>
      <c r="E98">
        <v>1</v>
      </c>
      <c r="F98">
        <v>1</v>
      </c>
      <c r="G98">
        <v>1</v>
      </c>
      <c r="H98">
        <v>1</v>
      </c>
      <c r="I98">
        <f t="shared" si="3"/>
        <v>4</v>
      </c>
      <c r="J98">
        <v>0</v>
      </c>
      <c r="K98">
        <v>0</v>
      </c>
      <c r="L98">
        <v>0</v>
      </c>
      <c r="M98">
        <f t="shared" si="4"/>
        <v>0</v>
      </c>
    </row>
    <row r="99" spans="1:13" x14ac:dyDescent="0.2">
      <c r="A99">
        <v>0</v>
      </c>
      <c r="B99">
        <v>0</v>
      </c>
      <c r="C99">
        <v>0</v>
      </c>
      <c r="D99">
        <f t="shared" si="5"/>
        <v>0</v>
      </c>
      <c r="E99">
        <v>0</v>
      </c>
      <c r="F99">
        <v>0</v>
      </c>
      <c r="G99">
        <v>0</v>
      </c>
      <c r="H99">
        <v>0</v>
      </c>
      <c r="I99">
        <f t="shared" si="3"/>
        <v>0</v>
      </c>
      <c r="J99">
        <v>0</v>
      </c>
      <c r="K99">
        <v>0</v>
      </c>
      <c r="L99">
        <v>0</v>
      </c>
      <c r="M99">
        <f t="shared" si="4"/>
        <v>0</v>
      </c>
    </row>
    <row r="100" spans="1:13" x14ac:dyDescent="0.2">
      <c r="A100">
        <v>0</v>
      </c>
      <c r="B100">
        <v>0</v>
      </c>
      <c r="C100">
        <v>0</v>
      </c>
      <c r="D100">
        <f t="shared" si="5"/>
        <v>0</v>
      </c>
      <c r="E100">
        <v>0</v>
      </c>
      <c r="F100">
        <v>0</v>
      </c>
      <c r="G100">
        <v>1</v>
      </c>
      <c r="H100">
        <v>0</v>
      </c>
      <c r="I100">
        <f t="shared" si="3"/>
        <v>1</v>
      </c>
      <c r="J100">
        <v>1</v>
      </c>
      <c r="K100">
        <v>1</v>
      </c>
      <c r="L100">
        <v>0</v>
      </c>
      <c r="M100">
        <f t="shared" si="4"/>
        <v>2</v>
      </c>
    </row>
    <row r="101" spans="1:13" x14ac:dyDescent="0.2">
      <c r="A101">
        <v>0</v>
      </c>
      <c r="B101">
        <v>0</v>
      </c>
      <c r="C101">
        <v>0</v>
      </c>
      <c r="D101">
        <f t="shared" si="5"/>
        <v>0</v>
      </c>
      <c r="E101">
        <v>0</v>
      </c>
      <c r="F101">
        <v>0</v>
      </c>
      <c r="G101">
        <v>1</v>
      </c>
      <c r="H101">
        <v>0</v>
      </c>
      <c r="I101">
        <f t="shared" si="3"/>
        <v>1</v>
      </c>
      <c r="J101">
        <v>0</v>
      </c>
      <c r="K101">
        <v>0</v>
      </c>
      <c r="L101">
        <v>0</v>
      </c>
      <c r="M101">
        <f t="shared" si="4"/>
        <v>0</v>
      </c>
    </row>
    <row r="102" spans="1:13" x14ac:dyDescent="0.2">
      <c r="A102">
        <v>0</v>
      </c>
      <c r="B102">
        <v>1</v>
      </c>
      <c r="C102">
        <v>0</v>
      </c>
      <c r="D102">
        <f t="shared" si="5"/>
        <v>1</v>
      </c>
      <c r="E102">
        <v>0</v>
      </c>
      <c r="F102">
        <v>0</v>
      </c>
      <c r="G102">
        <v>1</v>
      </c>
      <c r="H102">
        <v>1</v>
      </c>
      <c r="I102">
        <f t="shared" si="3"/>
        <v>2</v>
      </c>
      <c r="J102">
        <v>1</v>
      </c>
      <c r="K102">
        <v>0</v>
      </c>
      <c r="L102">
        <v>1</v>
      </c>
      <c r="M102">
        <f t="shared" si="4"/>
        <v>2</v>
      </c>
    </row>
    <row r="103" spans="1:13" x14ac:dyDescent="0.2">
      <c r="A103">
        <v>1</v>
      </c>
      <c r="B103">
        <v>1</v>
      </c>
      <c r="C103">
        <v>1</v>
      </c>
      <c r="D103">
        <f t="shared" si="5"/>
        <v>3</v>
      </c>
      <c r="E103">
        <v>1</v>
      </c>
      <c r="F103">
        <v>0</v>
      </c>
      <c r="G103">
        <v>1</v>
      </c>
      <c r="H103">
        <v>0</v>
      </c>
      <c r="I103">
        <f t="shared" si="3"/>
        <v>2</v>
      </c>
      <c r="J103">
        <v>1</v>
      </c>
      <c r="K103">
        <v>0</v>
      </c>
      <c r="L103">
        <v>0</v>
      </c>
      <c r="M103">
        <f t="shared" si="4"/>
        <v>1</v>
      </c>
    </row>
    <row r="104" spans="1:13" x14ac:dyDescent="0.2">
      <c r="A104">
        <v>0</v>
      </c>
      <c r="B104">
        <v>0</v>
      </c>
      <c r="C104">
        <v>1</v>
      </c>
      <c r="D104">
        <f t="shared" si="5"/>
        <v>1</v>
      </c>
      <c r="E104">
        <v>0</v>
      </c>
      <c r="F104">
        <v>0</v>
      </c>
      <c r="G104">
        <v>1</v>
      </c>
      <c r="H104">
        <v>0</v>
      </c>
      <c r="I104">
        <f t="shared" si="3"/>
        <v>1</v>
      </c>
      <c r="J104">
        <v>0</v>
      </c>
      <c r="K104">
        <v>0</v>
      </c>
      <c r="L104">
        <v>0</v>
      </c>
      <c r="M104">
        <f t="shared" si="4"/>
        <v>0</v>
      </c>
    </row>
    <row r="105" spans="1:13" x14ac:dyDescent="0.2">
      <c r="A105">
        <v>0</v>
      </c>
      <c r="B105">
        <v>1</v>
      </c>
      <c r="C105">
        <v>0</v>
      </c>
      <c r="D105">
        <f t="shared" si="5"/>
        <v>1</v>
      </c>
      <c r="E105">
        <v>1</v>
      </c>
      <c r="F105">
        <v>0</v>
      </c>
      <c r="G105">
        <v>1</v>
      </c>
      <c r="H105">
        <v>0</v>
      </c>
      <c r="I105">
        <f t="shared" si="3"/>
        <v>2</v>
      </c>
      <c r="J105">
        <v>1</v>
      </c>
      <c r="K105">
        <v>0</v>
      </c>
      <c r="L105">
        <v>0</v>
      </c>
      <c r="M105">
        <f t="shared" si="4"/>
        <v>1</v>
      </c>
    </row>
    <row r="106" spans="1:13" x14ac:dyDescent="0.2">
      <c r="A106">
        <v>1</v>
      </c>
      <c r="B106">
        <v>0</v>
      </c>
      <c r="C106">
        <v>0</v>
      </c>
      <c r="D106">
        <f t="shared" si="5"/>
        <v>1</v>
      </c>
      <c r="E106">
        <v>0</v>
      </c>
      <c r="F106">
        <v>1</v>
      </c>
      <c r="G106">
        <v>1</v>
      </c>
      <c r="H106">
        <v>0</v>
      </c>
      <c r="I106">
        <f t="shared" si="3"/>
        <v>2</v>
      </c>
      <c r="J106">
        <v>0</v>
      </c>
      <c r="K106">
        <v>0</v>
      </c>
      <c r="L106">
        <v>0</v>
      </c>
      <c r="M106">
        <f t="shared" si="4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 Liu</dc:creator>
  <cp:lastModifiedBy>Viola Liu</cp:lastModifiedBy>
  <dcterms:created xsi:type="dcterms:W3CDTF">2024-06-27T21:51:17Z</dcterms:created>
  <dcterms:modified xsi:type="dcterms:W3CDTF">2024-07-01T20:24:45Z</dcterms:modified>
</cp:coreProperties>
</file>